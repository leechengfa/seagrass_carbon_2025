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WRITE\Field_data\Nantes_cloud\"/>
    </mc:Choice>
  </mc:AlternateContent>
  <bookViews>
    <workbookView xWindow="360" yWindow="15" windowWidth="20955" windowHeight="9720"/>
  </bookViews>
  <sheets>
    <sheet name="data" sheetId="4" r:id="rId1"/>
    <sheet name="raw" sheetId="1" r:id="rId2"/>
    <sheet name="carbon" sheetId="3" r:id="rId3"/>
  </sheets>
  <definedNames>
    <definedName name="_xlnm.Print_Area" localSheetId="2">carbon!$A$1:$J$22</definedName>
  </definedNames>
  <calcPr calcId="162913"/>
</workbook>
</file>

<file path=xl/calcChain.xml><?xml version="1.0" encoding="utf-8"?>
<calcChain xmlns="http://schemas.openxmlformats.org/spreadsheetml/2006/main">
  <c r="H3" i="4" l="1"/>
  <c r="I3" i="4"/>
  <c r="J3" i="4"/>
  <c r="K3" i="4"/>
  <c r="H4" i="4"/>
  <c r="I4" i="4"/>
  <c r="J4" i="4"/>
  <c r="K4" i="4"/>
  <c r="H5" i="4"/>
  <c r="I5" i="4"/>
  <c r="J5" i="4"/>
  <c r="K5" i="4"/>
  <c r="H6" i="4"/>
  <c r="I6" i="4"/>
  <c r="J6" i="4"/>
  <c r="K6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4" i="4"/>
  <c r="I14" i="4"/>
  <c r="J14" i="4"/>
  <c r="K14" i="4"/>
  <c r="H15" i="4"/>
  <c r="I15" i="4"/>
  <c r="J15" i="4"/>
  <c r="K15" i="4"/>
  <c r="H16" i="4"/>
  <c r="I16" i="4"/>
  <c r="J16" i="4"/>
  <c r="K16" i="4"/>
  <c r="H17" i="4"/>
  <c r="I17" i="4"/>
  <c r="J17" i="4"/>
  <c r="K17" i="4"/>
  <c r="H18" i="4"/>
  <c r="I18" i="4"/>
  <c r="J18" i="4"/>
  <c r="K18" i="4"/>
  <c r="H19" i="4"/>
  <c r="I19" i="4"/>
  <c r="J19" i="4"/>
  <c r="K19" i="4"/>
  <c r="H20" i="4"/>
  <c r="I20" i="4"/>
  <c r="J20" i="4"/>
  <c r="K20" i="4"/>
  <c r="H21" i="4"/>
  <c r="I21" i="4"/>
  <c r="J21" i="4"/>
  <c r="K21" i="4"/>
  <c r="H22" i="4"/>
  <c r="I22" i="4"/>
  <c r="J22" i="4"/>
  <c r="K22" i="4"/>
  <c r="H23" i="4"/>
  <c r="I23" i="4"/>
  <c r="J23" i="4"/>
  <c r="K23" i="4"/>
  <c r="H24" i="4"/>
  <c r="I24" i="4"/>
  <c r="J24" i="4"/>
  <c r="K24" i="4"/>
  <c r="H25" i="4"/>
  <c r="I25" i="4"/>
  <c r="J25" i="4"/>
  <c r="K25" i="4"/>
  <c r="H26" i="4"/>
  <c r="I26" i="4"/>
  <c r="J26" i="4"/>
  <c r="K26" i="4"/>
  <c r="H27" i="4"/>
  <c r="I27" i="4"/>
  <c r="J27" i="4"/>
  <c r="K27" i="4"/>
  <c r="H28" i="4"/>
  <c r="I28" i="4"/>
  <c r="J28" i="4"/>
  <c r="K28" i="4"/>
  <c r="H29" i="4"/>
  <c r="I29" i="4"/>
  <c r="J29" i="4"/>
  <c r="K29" i="4"/>
  <c r="H30" i="4"/>
  <c r="I30" i="4"/>
  <c r="J30" i="4"/>
  <c r="K30" i="4"/>
  <c r="H31" i="4"/>
  <c r="I31" i="4"/>
  <c r="J31" i="4"/>
  <c r="K31" i="4"/>
  <c r="H32" i="4"/>
  <c r="I32" i="4"/>
  <c r="J32" i="4"/>
  <c r="K32" i="4"/>
  <c r="H33" i="4"/>
  <c r="I33" i="4"/>
  <c r="J33" i="4"/>
  <c r="K33" i="4"/>
  <c r="H34" i="4"/>
  <c r="I34" i="4"/>
  <c r="J34" i="4"/>
  <c r="K34" i="4"/>
  <c r="H35" i="4"/>
  <c r="I35" i="4"/>
  <c r="J35" i="4"/>
  <c r="K35" i="4"/>
  <c r="H36" i="4"/>
  <c r="I36" i="4"/>
  <c r="J36" i="4"/>
  <c r="K36" i="4"/>
  <c r="H37" i="4"/>
  <c r="I37" i="4"/>
  <c r="J37" i="4"/>
  <c r="K37" i="4"/>
  <c r="H38" i="4"/>
  <c r="I38" i="4"/>
  <c r="J38" i="4"/>
  <c r="K38" i="4"/>
  <c r="H39" i="4"/>
  <c r="I39" i="4"/>
  <c r="J39" i="4"/>
  <c r="K39" i="4"/>
  <c r="H40" i="4"/>
  <c r="I40" i="4"/>
  <c r="J40" i="4"/>
  <c r="K40" i="4"/>
  <c r="H41" i="4"/>
  <c r="I41" i="4"/>
  <c r="J41" i="4"/>
  <c r="K41" i="4"/>
  <c r="H42" i="4"/>
  <c r="I42" i="4"/>
  <c r="J42" i="4"/>
  <c r="K42" i="4"/>
  <c r="H43" i="4"/>
  <c r="I43" i="4"/>
  <c r="J43" i="4"/>
  <c r="K43" i="4"/>
  <c r="H44" i="4"/>
  <c r="I44" i="4"/>
  <c r="J44" i="4"/>
  <c r="K44" i="4"/>
  <c r="H45" i="4"/>
  <c r="I45" i="4"/>
  <c r="J45" i="4"/>
  <c r="K45" i="4"/>
  <c r="H46" i="4"/>
  <c r="I46" i="4"/>
  <c r="J46" i="4"/>
  <c r="K46" i="4"/>
  <c r="H47" i="4"/>
  <c r="I47" i="4"/>
  <c r="J47" i="4"/>
  <c r="K47" i="4"/>
  <c r="H48" i="4"/>
  <c r="I48" i="4"/>
  <c r="J48" i="4"/>
  <c r="K48" i="4"/>
  <c r="H49" i="4"/>
  <c r="I49" i="4"/>
  <c r="J49" i="4"/>
  <c r="K49" i="4"/>
  <c r="H50" i="4"/>
  <c r="I50" i="4"/>
  <c r="J50" i="4"/>
  <c r="K50" i="4"/>
  <c r="H51" i="4"/>
  <c r="I51" i="4"/>
  <c r="J51" i="4"/>
  <c r="K51" i="4"/>
  <c r="H52" i="4"/>
  <c r="I52" i="4"/>
  <c r="J52" i="4"/>
  <c r="K52" i="4"/>
  <c r="H53" i="4"/>
  <c r="I53" i="4"/>
  <c r="J53" i="4"/>
  <c r="K53" i="4"/>
  <c r="H54" i="4"/>
  <c r="I54" i="4"/>
  <c r="J54" i="4"/>
  <c r="K54" i="4"/>
  <c r="H55" i="4"/>
  <c r="I55" i="4"/>
  <c r="J55" i="4"/>
  <c r="K55" i="4"/>
  <c r="H56" i="4"/>
  <c r="I56" i="4"/>
  <c r="J56" i="4"/>
  <c r="K56" i="4"/>
  <c r="H57" i="4"/>
  <c r="I57" i="4"/>
  <c r="J57" i="4"/>
  <c r="K57" i="4"/>
  <c r="H58" i="4"/>
  <c r="I58" i="4"/>
  <c r="J58" i="4"/>
  <c r="K58" i="4"/>
  <c r="H59" i="4"/>
  <c r="I59" i="4"/>
  <c r="J59" i="4"/>
  <c r="K59" i="4"/>
  <c r="H60" i="4"/>
  <c r="I60" i="4"/>
  <c r="J60" i="4"/>
  <c r="K60" i="4"/>
  <c r="H61" i="4"/>
  <c r="I61" i="4"/>
  <c r="J61" i="4"/>
  <c r="K61" i="4"/>
  <c r="K2" i="4"/>
  <c r="J2" i="4"/>
  <c r="I2" i="4"/>
  <c r="H2" i="4"/>
  <c r="K28" i="1" l="1"/>
  <c r="M28" i="1" s="1"/>
  <c r="J28" i="1"/>
  <c r="L28" i="1" s="1"/>
  <c r="N28" i="1" s="1"/>
  <c r="K58" i="1"/>
  <c r="M58" i="1" s="1"/>
  <c r="J58" i="1"/>
  <c r="L58" i="1" s="1"/>
  <c r="N58" i="1" s="1"/>
  <c r="M61" i="1"/>
  <c r="L61" i="1"/>
  <c r="N61" i="1" s="1"/>
  <c r="K61" i="1"/>
  <c r="L60" i="1"/>
  <c r="N60" i="1" s="1"/>
  <c r="K60" i="1"/>
  <c r="M60" i="1" s="1"/>
  <c r="L59" i="1"/>
  <c r="N59" i="1" s="1"/>
  <c r="K59" i="1"/>
  <c r="M59" i="1" s="1"/>
  <c r="L31" i="1"/>
  <c r="N31" i="1" s="1"/>
  <c r="K31" i="1"/>
  <c r="M31" i="1" s="1"/>
  <c r="L30" i="1"/>
  <c r="N30" i="1" s="1"/>
  <c r="K30" i="1"/>
  <c r="M30" i="1" s="1"/>
  <c r="L29" i="1"/>
  <c r="N29" i="1" s="1"/>
  <c r="K29" i="1"/>
  <c r="M29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9" i="1"/>
  <c r="J60" i="1"/>
  <c r="J61" i="1"/>
  <c r="J2" i="1"/>
  <c r="G8" i="4" l="1"/>
  <c r="G47" i="4"/>
  <c r="G46" i="4"/>
  <c r="G45" i="4"/>
  <c r="G27" i="4"/>
  <c r="G18" i="4"/>
  <c r="N47" i="1"/>
  <c r="M47" i="1"/>
  <c r="L47" i="1"/>
  <c r="K47" i="1"/>
  <c r="N46" i="1"/>
  <c r="M46" i="1"/>
  <c r="L46" i="1"/>
  <c r="K46" i="1"/>
  <c r="N45" i="1"/>
  <c r="M45" i="1"/>
  <c r="L45" i="1"/>
  <c r="L40" i="1"/>
  <c r="L35" i="1"/>
  <c r="L17" i="1"/>
  <c r="M13" i="1"/>
  <c r="N12" i="1"/>
  <c r="L12" i="1"/>
  <c r="N9" i="1"/>
  <c r="M9" i="1"/>
  <c r="L9" i="1"/>
  <c r="K9" i="1"/>
  <c r="N8" i="1"/>
  <c r="M8" i="1"/>
  <c r="L8" i="1"/>
  <c r="K8" i="1"/>
  <c r="N7" i="1"/>
  <c r="M7" i="1"/>
  <c r="L7" i="1"/>
  <c r="M5" i="1"/>
  <c r="L5" i="1"/>
  <c r="K5" i="1"/>
  <c r="N4" i="1"/>
  <c r="M4" i="1"/>
  <c r="L4" i="1"/>
  <c r="K4" i="1"/>
  <c r="N3" i="1"/>
  <c r="M3" i="1"/>
  <c r="L3" i="1"/>
  <c r="K3" i="1"/>
  <c r="E3" i="4"/>
  <c r="G3" i="4" s="1"/>
  <c r="E4" i="4"/>
  <c r="G4" i="4" s="1"/>
  <c r="E5" i="4"/>
  <c r="G5" i="4" s="1"/>
  <c r="E6" i="4"/>
  <c r="N6" i="1" s="1"/>
  <c r="E7" i="4"/>
  <c r="K7" i="1" s="1"/>
  <c r="E8" i="4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E16" i="4"/>
  <c r="G16" i="4" s="1"/>
  <c r="E17" i="4"/>
  <c r="G17" i="4" s="1"/>
  <c r="E18" i="4"/>
  <c r="E19" i="4"/>
  <c r="E20" i="4"/>
  <c r="E21" i="4"/>
  <c r="E22" i="4"/>
  <c r="E23" i="4"/>
  <c r="E24" i="4"/>
  <c r="E25" i="4"/>
  <c r="E26" i="4"/>
  <c r="E27" i="4"/>
  <c r="E28" i="4"/>
  <c r="G28" i="4" s="1"/>
  <c r="E29" i="4"/>
  <c r="G29" i="4" s="1"/>
  <c r="E30" i="4"/>
  <c r="G30" i="4" s="1"/>
  <c r="E31" i="4"/>
  <c r="G31" i="4" s="1"/>
  <c r="E32" i="4"/>
  <c r="G32" i="4" s="1"/>
  <c r="E33" i="4"/>
  <c r="G33" i="4" s="1"/>
  <c r="E34" i="4"/>
  <c r="G34" i="4" s="1"/>
  <c r="E35" i="4"/>
  <c r="G35" i="4" s="1"/>
  <c r="E36" i="4"/>
  <c r="G36" i="4" s="1"/>
  <c r="E37" i="4"/>
  <c r="G37" i="4" s="1"/>
  <c r="E38" i="4"/>
  <c r="E39" i="4"/>
  <c r="E40" i="4"/>
  <c r="K40" i="1" s="1"/>
  <c r="E41" i="4"/>
  <c r="G41" i="4" s="1"/>
  <c r="E42" i="4"/>
  <c r="G42" i="4" s="1"/>
  <c r="E43" i="4"/>
  <c r="G43" i="4" s="1"/>
  <c r="E44" i="4"/>
  <c r="G44" i="4" s="1"/>
  <c r="E45" i="4"/>
  <c r="K45" i="1" s="1"/>
  <c r="E46" i="4"/>
  <c r="E47" i="4"/>
  <c r="E48" i="4"/>
  <c r="G48" i="4" s="1"/>
  <c r="E49" i="4"/>
  <c r="E50" i="4"/>
  <c r="E51" i="4"/>
  <c r="E52" i="4"/>
  <c r="E53" i="4"/>
  <c r="E54" i="4"/>
  <c r="E55" i="4"/>
  <c r="E56" i="4"/>
  <c r="E57" i="4"/>
  <c r="E58" i="4"/>
  <c r="G58" i="4" s="1"/>
  <c r="E59" i="4"/>
  <c r="G59" i="4" s="1"/>
  <c r="E60" i="4"/>
  <c r="G60" i="4" s="1"/>
  <c r="E61" i="4"/>
  <c r="G61" i="4" s="1"/>
  <c r="E2" i="4"/>
  <c r="K2" i="1" s="1"/>
  <c r="M21" i="1" l="1"/>
  <c r="K21" i="1"/>
  <c r="L21" i="1"/>
  <c r="N21" i="1"/>
  <c r="M2" i="1"/>
  <c r="M12" i="1"/>
  <c r="M17" i="1"/>
  <c r="M35" i="1"/>
  <c r="M40" i="1"/>
  <c r="G2" i="4"/>
  <c r="N2" i="1"/>
  <c r="N17" i="1"/>
  <c r="N35" i="1"/>
  <c r="N40" i="1"/>
  <c r="K13" i="1"/>
  <c r="K18" i="1"/>
  <c r="K36" i="1"/>
  <c r="K41" i="1"/>
  <c r="G15" i="4"/>
  <c r="L2" i="1"/>
  <c r="L13" i="1"/>
  <c r="L18" i="1"/>
  <c r="L36" i="1"/>
  <c r="L41" i="1"/>
  <c r="G38" i="4"/>
  <c r="K22" i="1"/>
  <c r="L22" i="1"/>
  <c r="M22" i="1"/>
  <c r="N22" i="1"/>
  <c r="M18" i="1"/>
  <c r="M36" i="1"/>
  <c r="M41" i="1"/>
  <c r="G40" i="4"/>
  <c r="N13" i="1"/>
  <c r="N18" i="1"/>
  <c r="N36" i="1"/>
  <c r="N41" i="1"/>
  <c r="G22" i="4"/>
  <c r="K14" i="1"/>
  <c r="K32" i="1"/>
  <c r="K37" i="1"/>
  <c r="K42" i="1"/>
  <c r="N56" i="1"/>
  <c r="G56" i="4"/>
  <c r="M56" i="1"/>
  <c r="L56" i="1"/>
  <c r="K56" i="1"/>
  <c r="K55" i="1"/>
  <c r="L55" i="1"/>
  <c r="M55" i="1"/>
  <c r="N55" i="1"/>
  <c r="L14" i="1"/>
  <c r="L32" i="1"/>
  <c r="L37" i="1"/>
  <c r="L42" i="1"/>
  <c r="K54" i="1"/>
  <c r="L54" i="1"/>
  <c r="N54" i="1"/>
  <c r="M54" i="1"/>
  <c r="G54" i="4"/>
  <c r="M14" i="1"/>
  <c r="M32" i="1"/>
  <c r="M37" i="1"/>
  <c r="M42" i="1"/>
  <c r="N14" i="1"/>
  <c r="N32" i="1"/>
  <c r="N37" i="1"/>
  <c r="N42" i="1"/>
  <c r="K10" i="1"/>
  <c r="K15" i="1"/>
  <c r="K33" i="1"/>
  <c r="K38" i="1"/>
  <c r="K43" i="1"/>
  <c r="K48" i="1"/>
  <c r="G51" i="4"/>
  <c r="G57" i="4"/>
  <c r="K57" i="1"/>
  <c r="M57" i="1"/>
  <c r="N57" i="1"/>
  <c r="L57" i="1"/>
  <c r="L50" i="1"/>
  <c r="M50" i="1"/>
  <c r="N50" i="1"/>
  <c r="K50" i="1"/>
  <c r="G50" i="4"/>
  <c r="L10" i="1"/>
  <c r="L15" i="1"/>
  <c r="L33" i="1"/>
  <c r="L38" i="1"/>
  <c r="L43" i="1"/>
  <c r="L48" i="1"/>
  <c r="G21" i="4"/>
  <c r="K51" i="1"/>
  <c r="L51" i="1"/>
  <c r="N51" i="1"/>
  <c r="M51" i="1"/>
  <c r="M10" i="1"/>
  <c r="M15" i="1"/>
  <c r="M33" i="1"/>
  <c r="M38" i="1"/>
  <c r="M43" i="1"/>
  <c r="M48" i="1"/>
  <c r="G25" i="4"/>
  <c r="M52" i="1"/>
  <c r="G52" i="4"/>
  <c r="L52" i="1"/>
  <c r="K52" i="1"/>
  <c r="N52" i="1"/>
  <c r="N5" i="1"/>
  <c r="N10" i="1"/>
  <c r="N15" i="1"/>
  <c r="N33" i="1"/>
  <c r="N38" i="1"/>
  <c r="N43" i="1"/>
  <c r="N48" i="1"/>
  <c r="G7" i="4"/>
  <c r="K20" i="1"/>
  <c r="N20" i="1"/>
  <c r="L20" i="1"/>
  <c r="G20" i="4"/>
  <c r="M20" i="1"/>
  <c r="K6" i="1"/>
  <c r="K11" i="1"/>
  <c r="K16" i="1"/>
  <c r="K34" i="1"/>
  <c r="K39" i="1"/>
  <c r="K44" i="1"/>
  <c r="G55" i="4"/>
  <c r="K26" i="1"/>
  <c r="N26" i="1"/>
  <c r="L26" i="1"/>
  <c r="M26" i="1"/>
  <c r="L6" i="1"/>
  <c r="L11" i="1"/>
  <c r="L16" i="1"/>
  <c r="L34" i="1"/>
  <c r="L39" i="1"/>
  <c r="L44" i="1"/>
  <c r="G39" i="4"/>
  <c r="G19" i="4"/>
  <c r="M19" i="1"/>
  <c r="K19" i="1"/>
  <c r="L19" i="1"/>
  <c r="N19" i="1"/>
  <c r="M27" i="1"/>
  <c r="K27" i="1"/>
  <c r="L27" i="1"/>
  <c r="N27" i="1"/>
  <c r="K25" i="1"/>
  <c r="L25" i="1"/>
  <c r="N25" i="1"/>
  <c r="M25" i="1"/>
  <c r="M6" i="1"/>
  <c r="M11" i="1"/>
  <c r="M16" i="1"/>
  <c r="M34" i="1"/>
  <c r="M39" i="1"/>
  <c r="M44" i="1"/>
  <c r="G6" i="4"/>
  <c r="G53" i="4"/>
  <c r="N53" i="1"/>
  <c r="L53" i="1"/>
  <c r="K53" i="1"/>
  <c r="M53" i="1"/>
  <c r="K24" i="1"/>
  <c r="N24" i="1"/>
  <c r="L24" i="1"/>
  <c r="G24" i="4"/>
  <c r="M24" i="1"/>
  <c r="N11" i="1"/>
  <c r="N16" i="1"/>
  <c r="N34" i="1"/>
  <c r="N39" i="1"/>
  <c r="N44" i="1"/>
  <c r="G26" i="4"/>
  <c r="K49" i="1"/>
  <c r="L49" i="1"/>
  <c r="G49" i="4"/>
  <c r="M49" i="1"/>
  <c r="N49" i="1"/>
  <c r="G23" i="4"/>
  <c r="N23" i="1"/>
  <c r="L23" i="1"/>
  <c r="K23" i="1"/>
  <c r="M23" i="1"/>
  <c r="K12" i="1"/>
  <c r="K17" i="1"/>
  <c r="K35" i="1"/>
  <c r="I48" i="3"/>
  <c r="E48" i="3"/>
  <c r="J48" i="3" s="1"/>
  <c r="I47" i="3"/>
  <c r="E47" i="3"/>
  <c r="J47" i="3" s="1"/>
  <c r="I46" i="3"/>
  <c r="E46" i="3"/>
  <c r="J46" i="3" s="1"/>
  <c r="I45" i="3"/>
  <c r="E45" i="3"/>
  <c r="J45" i="3" s="1"/>
  <c r="I44" i="3"/>
  <c r="E44" i="3"/>
  <c r="J44" i="3" s="1"/>
  <c r="I43" i="3"/>
  <c r="E43" i="3"/>
  <c r="J43" i="3" s="1"/>
  <c r="I42" i="3"/>
  <c r="J42" i="3" s="1"/>
  <c r="E42" i="3"/>
  <c r="I41" i="3"/>
  <c r="E41" i="3"/>
  <c r="J41" i="3" s="1"/>
  <c r="I40" i="3"/>
  <c r="E40" i="3"/>
  <c r="J40" i="3" s="1"/>
  <c r="I39" i="3"/>
  <c r="E39" i="3"/>
  <c r="J39" i="3" s="1"/>
  <c r="I38" i="3"/>
  <c r="E38" i="3"/>
  <c r="J38" i="3" s="1"/>
  <c r="I37" i="3"/>
  <c r="E37" i="3"/>
  <c r="J37" i="3" s="1"/>
  <c r="I36" i="3"/>
  <c r="E36" i="3"/>
  <c r="J36" i="3" s="1"/>
  <c r="J35" i="3"/>
  <c r="I35" i="3"/>
  <c r="E35" i="3"/>
  <c r="I34" i="3"/>
  <c r="E34" i="3"/>
  <c r="J34" i="3" s="1"/>
  <c r="I33" i="3"/>
  <c r="E33" i="3"/>
  <c r="J33" i="3" s="1"/>
  <c r="I32" i="3"/>
  <c r="E32" i="3"/>
  <c r="J32" i="3" s="1"/>
  <c r="I30" i="3"/>
  <c r="E30" i="3"/>
  <c r="J30" i="3" s="1"/>
  <c r="I29" i="3"/>
  <c r="E29" i="3"/>
  <c r="J29" i="3" s="1"/>
  <c r="I28" i="3"/>
  <c r="E28" i="3"/>
  <c r="J28" i="3" s="1"/>
  <c r="I27" i="3"/>
  <c r="E27" i="3"/>
  <c r="J27" i="3" s="1"/>
  <c r="I26" i="3"/>
  <c r="E26" i="3"/>
  <c r="J26" i="3" s="1"/>
  <c r="I25" i="3"/>
  <c r="E25" i="3"/>
  <c r="J25" i="3" s="1"/>
  <c r="I24" i="3"/>
  <c r="E24" i="3"/>
  <c r="J24" i="3" s="1"/>
  <c r="I23" i="3"/>
  <c r="E23" i="3"/>
  <c r="J23" i="3" s="1"/>
  <c r="I22" i="3"/>
  <c r="E22" i="3"/>
  <c r="J22" i="3" s="1"/>
  <c r="I21" i="3"/>
  <c r="J21" i="3" s="1"/>
  <c r="E21" i="3"/>
  <c r="I20" i="3"/>
  <c r="E20" i="3"/>
  <c r="J20" i="3" s="1"/>
  <c r="I19" i="3"/>
  <c r="E19" i="3"/>
  <c r="J19" i="3" s="1"/>
  <c r="I18" i="3"/>
  <c r="E18" i="3"/>
  <c r="J18" i="3" s="1"/>
  <c r="I17" i="3"/>
  <c r="E17" i="3"/>
  <c r="J17" i="3" s="1"/>
  <c r="I16" i="3"/>
  <c r="E16" i="3"/>
  <c r="J16" i="3" s="1"/>
  <c r="I15" i="3"/>
  <c r="E15" i="3"/>
  <c r="J15" i="3" s="1"/>
  <c r="J14" i="3"/>
  <c r="I14" i="3"/>
  <c r="E14" i="3"/>
  <c r="I48" i="1" l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27" i="1"/>
  <c r="I26" i="1"/>
  <c r="I25" i="1"/>
  <c r="I23" i="1"/>
  <c r="I22" i="1"/>
  <c r="I20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<sst xmlns="http://schemas.openxmlformats.org/spreadsheetml/2006/main" count="1149" uniqueCount="264">
  <si>
    <t>Core Type</t>
  </si>
  <si>
    <t>Group</t>
  </si>
  <si>
    <t>Sample</t>
  </si>
  <si>
    <t>SubSample</t>
  </si>
  <si>
    <t>SampleID</t>
  </si>
  <si>
    <t>Aluminium tare</t>
  </si>
  <si>
    <t>mass before oven</t>
  </si>
  <si>
    <t>mass after oven</t>
  </si>
  <si>
    <t>Fresh mass (g)</t>
  </si>
  <si>
    <t>Dry mass (g)</t>
  </si>
  <si>
    <t>Mass use for TC (mg)</t>
  </si>
  <si>
    <t>Mass TC (mg)</t>
  </si>
  <si>
    <t>Mass use for IC (mg)</t>
  </si>
  <si>
    <t>Mass IC (mg)</t>
  </si>
  <si>
    <t>Small</t>
  </si>
  <si>
    <t>Leaves</t>
  </si>
  <si>
    <t>01</t>
  </si>
  <si>
    <t>Cadiz_2025_L_01_01</t>
  </si>
  <si>
    <t>02</t>
  </si>
  <si>
    <t>Cadiz_2025_L_02_01</t>
  </si>
  <si>
    <t>03</t>
  </si>
  <si>
    <t>Cadiz_2025_L_03_01</t>
  </si>
  <si>
    <t>04</t>
  </si>
  <si>
    <t>Cadiz_2025_L_04_01</t>
  </si>
  <si>
    <t>05</t>
  </si>
  <si>
    <t>Cadiz_2025_L_05_01</t>
  </si>
  <si>
    <t>06</t>
  </si>
  <si>
    <t>Cadiz_2025_L_06_01</t>
  </si>
  <si>
    <t>07</t>
  </si>
  <si>
    <t>Cadiz_2025_L_07_01</t>
  </si>
  <si>
    <t>08</t>
  </si>
  <si>
    <t>Cadiz_2025_L_08_01</t>
  </si>
  <si>
    <t>09</t>
  </si>
  <si>
    <t>Cadiz_2025_L_09_01</t>
  </si>
  <si>
    <t>10</t>
  </si>
  <si>
    <t>Cadiz_2025_L_10_01</t>
  </si>
  <si>
    <t>11</t>
  </si>
  <si>
    <t>Cadiz_2025_L_11_01</t>
  </si>
  <si>
    <t>12</t>
  </si>
  <si>
    <t>Cadiz_2025_L_12_01</t>
  </si>
  <si>
    <t>13</t>
  </si>
  <si>
    <t>Cadiz_2025_L_13_01</t>
  </si>
  <si>
    <t>14</t>
  </si>
  <si>
    <t>Cadiz_2025_L_14_01</t>
  </si>
  <si>
    <t>15</t>
  </si>
  <si>
    <t>Cadiz_2025_L_15_01</t>
  </si>
  <si>
    <t>16</t>
  </si>
  <si>
    <t>Cadiz_2025_L_16_01</t>
  </si>
  <si>
    <t>17</t>
  </si>
  <si>
    <t>Cadiz_2025_L_17_01</t>
  </si>
  <si>
    <t>18</t>
  </si>
  <si>
    <t>Cadiz_2025_L_18_01</t>
  </si>
  <si>
    <t>19</t>
  </si>
  <si>
    <t>Cadiz_2025_L_19_01</t>
  </si>
  <si>
    <t>20</t>
  </si>
  <si>
    <t>Cadiz_2025_L_20_01</t>
  </si>
  <si>
    <t>NA</t>
  </si>
  <si>
    <t>21</t>
  </si>
  <si>
    <t>Cadiz_2025_L_21_01</t>
  </si>
  <si>
    <t>22</t>
  </si>
  <si>
    <t>Cadiz_2025_L_22_01</t>
  </si>
  <si>
    <t>23</t>
  </si>
  <si>
    <t>Cadiz_2025_L_23_01</t>
  </si>
  <si>
    <t>24</t>
  </si>
  <si>
    <t>Cadiz_2025_L_24_01</t>
  </si>
  <si>
    <t>25</t>
  </si>
  <si>
    <t>Cadiz_2025_L_25_01</t>
  </si>
  <si>
    <t>26</t>
  </si>
  <si>
    <t>Cadiz_2025_L_26_01</t>
  </si>
  <si>
    <t>27</t>
  </si>
  <si>
    <t>Cadiz_2025_L_27_01</t>
  </si>
  <si>
    <t>28</t>
  </si>
  <si>
    <t>Cadiz_2025_L_28_01</t>
  </si>
  <si>
    <t>29</t>
  </si>
  <si>
    <t>Cadiz_2025_L_29_01</t>
  </si>
  <si>
    <t>30</t>
  </si>
  <si>
    <t>Cadiz_2025_L_30_01</t>
  </si>
  <si>
    <t>Roots</t>
  </si>
  <si>
    <t>Cadiz_2025_R_01_01</t>
  </si>
  <si>
    <t>Cadiz_2025_R_02_01</t>
  </si>
  <si>
    <t>Cadiz_2025_R_03_01</t>
  </si>
  <si>
    <t>Cadiz_2025_R_04_01</t>
  </si>
  <si>
    <t>Cadiz_2025_R_05_01</t>
  </si>
  <si>
    <t>Cadiz_2025_R_06_01</t>
  </si>
  <si>
    <t>Cadiz_2025_R_07_01</t>
  </si>
  <si>
    <t>Cadiz_2025_R_08_01</t>
  </si>
  <si>
    <t>Cadiz_2025_R_09_01</t>
  </si>
  <si>
    <t>Cadiz_2025_R_10_01</t>
  </si>
  <si>
    <t>Cadiz_2025_R_11_01</t>
  </si>
  <si>
    <t>Cadiz_2025_R_12_01</t>
  </si>
  <si>
    <t>Cadiz_2025_R_13_01</t>
  </si>
  <si>
    <t>Cadiz_2025_R_14_01</t>
  </si>
  <si>
    <t>Cadiz_2025_R_15_01</t>
  </si>
  <si>
    <t>Cadiz_2025_R_16_01</t>
  </si>
  <si>
    <t>Cadiz_2025_R_17_01</t>
  </si>
  <si>
    <t>Cadiz_2025_R_18_01</t>
  </si>
  <si>
    <t>Cadiz_2025_R_19_01</t>
  </si>
  <si>
    <t>Cadiz_2025_R_20_01</t>
  </si>
  <si>
    <t>Cadiz_2025_R_21_01</t>
  </si>
  <si>
    <t>Cadiz_2025_R_22_01</t>
  </si>
  <si>
    <t>Cadiz_2025_R_23_01</t>
  </si>
  <si>
    <t>Cadiz_2025_R_24_01</t>
  </si>
  <si>
    <t>Cadiz_2025_R_25_01</t>
  </si>
  <si>
    <t>Cadiz_2025_R_26_01</t>
  </si>
  <si>
    <t>Cadiz_2025_R_27_01</t>
  </si>
  <si>
    <t>Cadiz_2025_R_28_01</t>
  </si>
  <si>
    <t>Cadiz_2025_R_29_01</t>
  </si>
  <si>
    <t>Cadiz_2025_R_30_01</t>
  </si>
  <si>
    <t>Big</t>
  </si>
  <si>
    <t>Entier</t>
  </si>
  <si>
    <t>Cadiz_2025_E_01_01</t>
  </si>
  <si>
    <t>Cadiz_2025_E_02_01</t>
  </si>
  <si>
    <t>Cadiz_2025_E_03_01</t>
  </si>
  <si>
    <t>Cadiz_2025_E_04_01</t>
  </si>
  <si>
    <t>Cadiz_2025_E_05_01</t>
  </si>
  <si>
    <t>Cadiz_2025_E_06_01</t>
  </si>
  <si>
    <t>Cadiz_2025_E_07_01</t>
  </si>
  <si>
    <t>Cadiz_2025_E_08_01</t>
  </si>
  <si>
    <t>Cadiz_2025_E_09_01</t>
  </si>
  <si>
    <t>Cadiz_2025_E_10_01</t>
  </si>
  <si>
    <t>Cadiz_2025_E_11_01</t>
  </si>
  <si>
    <t>Cadiz_2025_E_12_01</t>
  </si>
  <si>
    <t>Cadiz_2025_E_13_01</t>
  </si>
  <si>
    <t>Cadiz_2025_E_14_01</t>
  </si>
  <si>
    <t>Cadiz_2025_E_15_01</t>
  </si>
  <si>
    <t>Cadiz_2025_E_16_01</t>
  </si>
  <si>
    <t>Cadiz_2025_E_17_01</t>
  </si>
  <si>
    <t>Cadiz_2025_E_18_01</t>
  </si>
  <si>
    <t>Cadiz_2025_E_19_01</t>
  </si>
  <si>
    <t>Cadiz_2025_E_20_01</t>
  </si>
  <si>
    <t>Cadiz_2025_E_21_01</t>
  </si>
  <si>
    <t>Cadiz_2025_E_22_01</t>
  </si>
  <si>
    <t>Cadiz_2025_E_23_01</t>
  </si>
  <si>
    <t>Cadiz_2025_E_24_01</t>
  </si>
  <si>
    <t>Cadiz_2025_E_25_01</t>
  </si>
  <si>
    <t>Cadiz_2025_E_26_01</t>
  </si>
  <si>
    <t>Cadiz_2025_E_27_01</t>
  </si>
  <si>
    <t>Cadiz_2025_E_28_01</t>
  </si>
  <si>
    <t>Cadiz_2025_E_29_01</t>
  </si>
  <si>
    <t>Cadiz_2025_E_30_01</t>
  </si>
  <si>
    <t>Discs</t>
  </si>
  <si>
    <t>Cadiz_2025_E_01_02</t>
  </si>
  <si>
    <t>Cadiz_2025_E_01_03</t>
  </si>
  <si>
    <t>Cadiz_2025_E_01_04</t>
  </si>
  <si>
    <t>Cadiz_2025_E_01_05</t>
  </si>
  <si>
    <t>Cadiz_2025_E_01_06</t>
  </si>
  <si>
    <t>Cadiz_2025_E_01_07</t>
  </si>
  <si>
    <t>Cadiz_2025_E_01_08</t>
  </si>
  <si>
    <t>Cadiz_2025_E_01_09</t>
  </si>
  <si>
    <t>Cadiz_2025_E_01_10</t>
  </si>
  <si>
    <t>Cadiz_2025_E_01_11</t>
  </si>
  <si>
    <t>Cadiz_2025_E_01_12</t>
  </si>
  <si>
    <t>Cadiz_2025_E_01_13</t>
  </si>
  <si>
    <t>Cadiz_2025_E_01_14</t>
  </si>
  <si>
    <t>Cadiz_2025_E_01_15</t>
  </si>
  <si>
    <t>Cadiz_2025_E_01_16</t>
  </si>
  <si>
    <t>Cadiz_2025_E_01_17</t>
  </si>
  <si>
    <t>Cadiz_2025_E_01_18</t>
  </si>
  <si>
    <t>Cadiz_2025_E_01_19</t>
  </si>
  <si>
    <t>Cadiz_2025_E_02_02</t>
  </si>
  <si>
    <t>Cadiz_2025_E_02_03</t>
  </si>
  <si>
    <t>Cadiz_2025_E_02_04</t>
  </si>
  <si>
    <t>Cadiz_2025_E_02_05</t>
  </si>
  <si>
    <t>Cadiz_2025_E_02_06</t>
  </si>
  <si>
    <t>Cadiz_2025_E_02_07</t>
  </si>
  <si>
    <t>Cadiz_2025_E_02_08</t>
  </si>
  <si>
    <t>Cadiz_2025_E_02_09</t>
  </si>
  <si>
    <t>Cadiz_2025_E_02_10</t>
  </si>
  <si>
    <t>Cadiz_2025_E_02_11</t>
  </si>
  <si>
    <t>Cadiz_2025_E_02_12</t>
  </si>
  <si>
    <t>Cadiz_2025_E_02_13</t>
  </si>
  <si>
    <t>Cadiz_2025_E_02_14</t>
  </si>
  <si>
    <t>Cadiz_2025_E_02_15</t>
  </si>
  <si>
    <t>Cadiz_2025_E_02_16</t>
  </si>
  <si>
    <t>Cadiz_2025_E_02_17</t>
  </si>
  <si>
    <t>Cadiz_2025_E_02_18</t>
  </si>
  <si>
    <t>Cadiz_2025_E_02_19</t>
  </si>
  <si>
    <t>Cadiz_2025_E_03_02</t>
  </si>
  <si>
    <t>Cadiz_2025_E_03_03</t>
  </si>
  <si>
    <t>Cadiz_2025_E_03_04</t>
  </si>
  <si>
    <t>Cadiz_2025_E_03_05</t>
  </si>
  <si>
    <t>Cadiz_2025_E_03_06</t>
  </si>
  <si>
    <t>Cadiz_2025_E_03_07</t>
  </si>
  <si>
    <t>Cadiz_2025_E_03_08</t>
  </si>
  <si>
    <t>Cadiz_2025_E_03_09</t>
  </si>
  <si>
    <t>Cadiz_2025_E_03_10</t>
  </si>
  <si>
    <t>Cadiz_2025_E_03_11</t>
  </si>
  <si>
    <t>Cadiz_2025_E_03_12</t>
  </si>
  <si>
    <t>Cadiz_2025_E_03_13</t>
  </si>
  <si>
    <t>Cadiz_2025_E_03_14</t>
  </si>
  <si>
    <t>Cadiz_2025_E_03_15</t>
  </si>
  <si>
    <t>Cadiz_2025_E_03_16</t>
  </si>
  <si>
    <t>Cadiz_2025_E_03_17</t>
  </si>
  <si>
    <t>Cadiz_2025_E_03_18</t>
  </si>
  <si>
    <t>Cadiz_2025_E_03_19</t>
  </si>
  <si>
    <t>PLQ_LEE_LCE</t>
  </si>
  <si>
    <t>Formulaire de résultats</t>
  </si>
  <si>
    <t>DETERMINATION DU CARBONE TOTAL, ORGANIQUE ET INORGANIQUE DANS LES SOLS</t>
  </si>
  <si>
    <t>Opérateur :</t>
  </si>
  <si>
    <t>Date d'analyse :</t>
  </si>
  <si>
    <t>RE :</t>
  </si>
  <si>
    <t>Norme :</t>
  </si>
  <si>
    <t>Analyse du Carbone total</t>
  </si>
  <si>
    <t>Analyse du Carbone inorganique</t>
  </si>
  <si>
    <t>N° éch</t>
  </si>
  <si>
    <r>
      <rPr>
        <b/>
        <sz val="10"/>
        <color rgb="FF000000"/>
        <rFont val="Cambria"/>
        <family val="1"/>
        <charset val="1"/>
      </rPr>
      <t xml:space="preserve">Prise d'essai humide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</si>
  <si>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Matière sèche
</t>
    </r>
    <r>
      <rPr>
        <i/>
        <sz val="9"/>
        <color rgb="FF000000"/>
        <rFont val="Cambria"/>
        <family val="1"/>
        <charset val="1"/>
      </rPr>
      <t>(%)</t>
    </r>
  </si>
  <si>
    <r>
      <rPr>
        <b/>
        <sz val="10"/>
        <color rgb="FF000000"/>
        <rFont val="Cambria"/>
        <family val="1"/>
        <charset val="1"/>
      </rPr>
      <t xml:space="preserve">Masse C mesurée 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</si>
  <si>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Ctot 
</t>
    </r>
    <r>
      <rPr>
        <i/>
        <sz val="9"/>
        <color rgb="FF000000"/>
        <rFont val="Cambria"/>
        <family val="1"/>
        <charset val="1"/>
      </rPr>
      <t>(g de C/kg de matière sèche)</t>
    </r>
  </si>
  <si>
    <r>
      <rPr>
        <b/>
        <sz val="10"/>
        <color rgb="FF000000"/>
        <rFont val="Cambria"/>
        <family val="1"/>
        <charset val="1"/>
      </rPr>
      <t xml:space="preserve">Concentration IC mesurée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</si>
  <si>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IC
</t>
    </r>
    <r>
      <rPr>
        <i/>
        <sz val="9"/>
        <color rgb="FF000000"/>
        <rFont val="Cambria"/>
        <family val="1"/>
        <charset val="1"/>
      </rPr>
      <t>(g de C/kg de matière sèche)</t>
    </r>
  </si>
  <si>
    <r>
      <rPr>
        <b/>
        <sz val="10"/>
        <color rgb="FF000000"/>
        <rFont val="Cambria"/>
        <family val="1"/>
        <charset val="1"/>
      </rPr>
      <t xml:space="preserve">Concentration COT 
</t>
    </r>
    <r>
      <rPr>
        <i/>
        <sz val="9"/>
        <color rgb="FF000000"/>
        <rFont val="Cambria"/>
        <family val="1"/>
        <charset val="1"/>
      </rPr>
      <t>(g de C/kg de matière sèche)</t>
    </r>
  </si>
  <si>
    <t>-</t>
  </si>
  <si>
    <t>Cadiz_2025_L_01</t>
  </si>
  <si>
    <t>Cadiz_2025_L_02</t>
  </si>
  <si>
    <t>Cadiz_2025_L_03</t>
  </si>
  <si>
    <t>Cadiz_2025_L_04</t>
  </si>
  <si>
    <t>Cadiz_2025_L_05</t>
  </si>
  <si>
    <t>Cadiz_2025_L_06</t>
  </si>
  <si>
    <t>Cadiz_2025_L_07</t>
  </si>
  <si>
    <t>Cadiz_2025_L_08</t>
  </si>
  <si>
    <t>Cadiz_2025_L_09</t>
  </si>
  <si>
    <t>Cadiz_2025_L_10</t>
  </si>
  <si>
    <t>Cadiz_2025_L_11</t>
  </si>
  <si>
    <t>Cadiz_2025_L_12</t>
  </si>
  <si>
    <t>Cadiz_2025_L_13</t>
  </si>
  <si>
    <t>Cadiz_2025_L_14</t>
  </si>
  <si>
    <t>Cadiz_2025_L_15</t>
  </si>
  <si>
    <t>Cadiz_2025_L_16</t>
  </si>
  <si>
    <t>Cadiz_2025_L_17</t>
  </si>
  <si>
    <t>Cadiz_2025_R_01</t>
  </si>
  <si>
    <t>Cadiz_2025_R_02</t>
  </si>
  <si>
    <t>Cadiz_2025_R_03</t>
  </si>
  <si>
    <t>Cadiz_2025_R_04</t>
  </si>
  <si>
    <t>Cadiz_2025_R_05</t>
  </si>
  <si>
    <t>Cadiz_2025_R_06</t>
  </si>
  <si>
    <t>Cadiz_2025_R_07</t>
  </si>
  <si>
    <t>Cadiz_2025_R_08</t>
  </si>
  <si>
    <t>Cadiz_2025_R_09</t>
  </si>
  <si>
    <t>Cadiz_2025_R_12</t>
  </si>
  <si>
    <t>Cadiz_2025_R_15</t>
  </si>
  <si>
    <t>Cadiz_2025_R_16</t>
  </si>
  <si>
    <t>Cadiz_2025_R_17</t>
  </si>
  <si>
    <t>ID</t>
  </si>
  <si>
    <t>Label</t>
  </si>
  <si>
    <r>
      <t xml:space="preserve">Prise d'essai humide
</t>
    </r>
    <r>
      <rPr>
        <i/>
        <sz val="9"/>
        <color rgb="FF000000"/>
        <rFont val="Cambria"/>
        <family val="1"/>
        <charset val="1"/>
      </rPr>
      <t>(mg)</t>
    </r>
  </si>
  <si>
    <t>PartType</t>
  </si>
  <si>
    <t>spc_100</t>
  </si>
  <si>
    <t>spc_50</t>
  </si>
  <si>
    <t>spc_0</t>
  </si>
  <si>
    <t>CarbonIC</t>
  </si>
  <si>
    <t>DryMassIC</t>
  </si>
  <si>
    <t>CarbonTC</t>
  </si>
  <si>
    <t>DryMassTC</t>
  </si>
  <si>
    <t>DryMassTotal</t>
  </si>
  <si>
    <t>CoreType</t>
  </si>
  <si>
    <t>Habitat</t>
  </si>
  <si>
    <t>seagrass</t>
  </si>
  <si>
    <t>bare</t>
  </si>
  <si>
    <t>Cadiz_2025_R_10 *</t>
  </si>
  <si>
    <t>Cadiz_2025_R_11 *</t>
  </si>
  <si>
    <t>Cadiz_2025_R_13 *</t>
  </si>
  <si>
    <t>Cadiz_2025_R_14 *</t>
  </si>
  <si>
    <t>* Samples not well homogenised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</si>
</sst>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0.000"/>
  </numFmts>
  <fonts count="11">
    <font>
      <sz val="12"/>
      <color indexed="64"/>
      <name val="Aptos Narrow"/>
    </font>
    <font>
      <b/>
      <sz val="12"/>
      <color indexed="64"/>
      <name val="Aptos Narrow"/>
    </font>
    <font>
      <b/>
      <sz val="11"/>
      <color indexed="64"/>
      <name val="Aptos Narrow"/>
    </font>
    <font>
      <sz val="10"/>
      <name val="Arial"/>
      <family val="2"/>
    </font>
    <font>
      <sz val="9"/>
      <name val="Cambria"/>
      <family val="1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b/>
      <sz val="9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rgb="FF000000"/>
      <name val="Cambria"/>
      <family val="1"/>
      <charset val="1"/>
    </font>
    <font>
      <i/>
      <sz val="9"/>
      <color rgb="FF000000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FFEE2"/>
      </patternFill>
    </fill>
    <fill>
      <patternFill patternType="solid">
        <fgColor rgb="FFFFFFCC"/>
        <bgColor rgb="FFEFFEE2"/>
      </patternFill>
    </fill>
    <fill>
      <patternFill patternType="solid">
        <fgColor rgb="FFEFFEE2"/>
        <bgColor rgb="FFFF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/>
      <bottom style="thin">
        <color theme="0" tint="-0.14999847407452621"/>
      </bottom>
      <diagonal/>
    </border>
    <border>
      <left style="thin">
        <color auto="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6" fillId="0" borderId="0"/>
    <xf numFmtId="0" fontId="6" fillId="0" borderId="0"/>
  </cellStyleXfs>
  <cellXfs count="4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9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0" xfId="1" applyFont="1" applyFill="1" applyAlignment="1" applyProtection="1">
      <alignment horizontal="center" vertical="center"/>
    </xf>
    <xf numFmtId="0" fontId="7" fillId="2" borderId="0" xfId="3" applyFont="1" applyFill="1" applyBorder="1" applyAlignment="1" applyProtection="1">
      <alignment horizontal="center" vertical="center"/>
    </xf>
    <xf numFmtId="0" fontId="4" fillId="2" borderId="0" xfId="4" applyFont="1" applyFill="1" applyBorder="1" applyAlignment="1" applyProtection="1">
      <alignment horizontal="center" vertical="center"/>
    </xf>
    <xf numFmtId="0" fontId="4" fillId="2" borderId="5" xfId="4" applyFont="1" applyFill="1" applyBorder="1" applyAlignment="1" applyProtection="1">
      <alignment horizontal="center" vertical="center"/>
    </xf>
    <xf numFmtId="0" fontId="4" fillId="2" borderId="6" xfId="4" applyFont="1" applyFill="1" applyBorder="1" applyAlignment="1" applyProtection="1">
      <alignment horizontal="center" vertical="center"/>
    </xf>
    <xf numFmtId="10" fontId="4" fillId="2" borderId="5" xfId="4" applyNumberFormat="1" applyFont="1" applyFill="1" applyBorder="1" applyAlignment="1" applyProtection="1">
      <alignment horizontal="center" vertical="center"/>
    </xf>
    <xf numFmtId="165" fontId="4" fillId="2" borderId="7" xfId="4" applyNumberFormat="1" applyFont="1" applyFill="1" applyBorder="1" applyAlignment="1" applyProtection="1">
      <alignment horizontal="center" vertical="center"/>
    </xf>
    <xf numFmtId="2" fontId="4" fillId="4" borderId="5" xfId="4" applyNumberFormat="1" applyFont="1" applyFill="1" applyBorder="1" applyAlignment="1" applyProtection="1">
      <alignment horizontal="center" vertical="center"/>
    </xf>
    <xf numFmtId="0" fontId="4" fillId="2" borderId="7" xfId="4" applyFont="1" applyFill="1" applyBorder="1" applyAlignment="1" applyProtection="1">
      <alignment horizontal="center" vertical="center"/>
    </xf>
    <xf numFmtId="165" fontId="4" fillId="2" borderId="5" xfId="4" applyNumberFormat="1" applyFont="1" applyFill="1" applyBorder="1" applyAlignment="1" applyProtection="1">
      <alignment horizontal="center" vertical="center"/>
    </xf>
    <xf numFmtId="165" fontId="4" fillId="4" borderId="8" xfId="4" applyNumberFormat="1" applyFont="1" applyFill="1" applyBorder="1" applyAlignment="1" applyProtection="1">
      <alignment horizontal="center" vertical="center"/>
    </xf>
    <xf numFmtId="0" fontId="4" fillId="2" borderId="9" xfId="4" applyFont="1" applyFill="1" applyBorder="1" applyAlignment="1" applyProtection="1">
      <alignment horizontal="center" vertical="center"/>
    </xf>
    <xf numFmtId="0" fontId="4" fillId="2" borderId="10" xfId="4" applyFont="1" applyFill="1" applyBorder="1" applyAlignment="1" applyProtection="1">
      <alignment horizontal="center" vertical="center"/>
    </xf>
    <xf numFmtId="10" fontId="4" fillId="2" borderId="9" xfId="4" applyNumberFormat="1" applyFont="1" applyFill="1" applyBorder="1" applyAlignment="1" applyProtection="1">
      <alignment horizontal="center" vertical="center"/>
    </xf>
    <xf numFmtId="165" fontId="4" fillId="2" borderId="11" xfId="4" applyNumberFormat="1" applyFont="1" applyFill="1" applyBorder="1" applyAlignment="1" applyProtection="1">
      <alignment horizontal="center" vertical="center"/>
    </xf>
    <xf numFmtId="2" fontId="4" fillId="4" borderId="12" xfId="4" applyNumberFormat="1" applyFont="1" applyFill="1" applyBorder="1" applyAlignment="1" applyProtection="1">
      <alignment horizontal="center" vertical="center"/>
    </xf>
    <xf numFmtId="0" fontId="4" fillId="2" borderId="11" xfId="4" applyFont="1" applyFill="1" applyBorder="1" applyAlignment="1" applyProtection="1">
      <alignment horizontal="center" vertical="center"/>
    </xf>
    <xf numFmtId="165" fontId="4" fillId="2" borderId="9" xfId="4" applyNumberFormat="1" applyFont="1" applyFill="1" applyBorder="1" applyAlignment="1" applyProtection="1">
      <alignment horizontal="center" vertical="center"/>
    </xf>
    <xf numFmtId="165" fontId="4" fillId="4" borderId="13" xfId="4" applyNumberFormat="1" applyFont="1" applyFill="1" applyBorder="1" applyAlignment="1" applyProtection="1">
      <alignment horizontal="center" vertical="center"/>
    </xf>
    <xf numFmtId="0" fontId="0" fillId="0" borderId="0" xfId="0" applyNumberFormat="1"/>
    <xf numFmtId="0" fontId="4" fillId="2" borderId="0" xfId="1" applyFont="1" applyFill="1" applyAlignment="1" applyProtection="1">
      <alignment horizontal="left" vertical="center"/>
    </xf>
    <xf numFmtId="0" fontId="9" fillId="2" borderId="1" xfId="4" applyFont="1" applyFill="1" applyBorder="1" applyAlignment="1" applyProtection="1">
      <alignment horizontal="center" vertical="center" wrapText="1"/>
    </xf>
    <xf numFmtId="0" fontId="4" fillId="2" borderId="3" xfId="1" applyFont="1" applyFill="1" applyBorder="1" applyAlignment="1" applyProtection="1">
      <alignment horizontal="center" vertical="center"/>
    </xf>
    <xf numFmtId="0" fontId="8" fillId="2" borderId="3" xfId="4" applyFont="1" applyFill="1" applyBorder="1" applyAlignment="1" applyProtection="1">
      <alignment horizontal="center" vertical="center"/>
    </xf>
    <xf numFmtId="0" fontId="9" fillId="2" borderId="2" xfId="4" applyFont="1" applyFill="1" applyBorder="1" applyAlignment="1" applyProtection="1">
      <alignment horizontal="center" vertical="center" wrapText="1"/>
    </xf>
    <xf numFmtId="0" fontId="9" fillId="2" borderId="4" xfId="4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left" vertical="center"/>
    </xf>
    <xf numFmtId="164" fontId="4" fillId="3" borderId="1" xfId="1" applyNumberFormat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1" xfId="2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2" xfId="1"/>
    <cellStyle name="Normal 31" xfId="2"/>
    <cellStyle name="Normal_Feuil1 (2)" xfId="3"/>
    <cellStyle name="Normal_Métaux y=ax+b 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390600</xdr:colOff>
      <xdr:row>0</xdr:row>
      <xdr:rowOff>190440</xdr:rowOff>
    </xdr:from>
    <xdr:to>
      <xdr:col>2</xdr:col>
      <xdr:colOff>422280</xdr:colOff>
      <xdr:row>2</xdr:row>
      <xdr:rowOff>142200</xdr:rowOff>
    </xdr:to>
    <xdr:pic>
      <xdr:nvPicPr>
        <xdr:cNvPr id="2" name="Imag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390600" y="190440"/>
          <a:ext cx="2165280" cy="4470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1"/>
  <sheetViews>
    <sheetView tabSelected="1" workbookViewId="0"/>
  </sheetViews>
  <sheetFormatPr defaultRowHeight="15"/>
  <cols>
    <col min="3" max="3" width="8.88671875" style="4"/>
    <col min="4" max="4" width="6.33203125" customWidth="1"/>
    <col min="5" max="5" width="15.88671875" bestFit="1" customWidth="1"/>
    <col min="6" max="6" width="15.88671875" style="4" customWidth="1"/>
    <col min="7" max="7" width="11.77734375" bestFit="1" customWidth="1"/>
    <col min="8" max="8" width="17.77734375" bestFit="1" customWidth="1"/>
    <col min="9" max="9" width="13.88671875" bestFit="1" customWidth="1"/>
    <col min="10" max="10" width="17.109375" bestFit="1" customWidth="1"/>
    <col min="11" max="11" width="13.88671875" bestFit="1" customWidth="1"/>
  </cols>
  <sheetData>
    <row r="1" spans="1:14" ht="15.75" customHeight="1">
      <c r="A1" s="4" t="s">
        <v>255</v>
      </c>
      <c r="B1" s="4" t="s">
        <v>246</v>
      </c>
      <c r="C1" s="4" t="s">
        <v>1</v>
      </c>
      <c r="D1" s="1" t="s">
        <v>243</v>
      </c>
      <c r="E1" s="1" t="s">
        <v>244</v>
      </c>
      <c r="F1" s="1" t="s">
        <v>256</v>
      </c>
      <c r="G1" s="5" t="s">
        <v>254</v>
      </c>
      <c r="H1" s="5" t="s">
        <v>253</v>
      </c>
      <c r="I1" s="5" t="s">
        <v>252</v>
      </c>
      <c r="J1" s="5" t="s">
        <v>251</v>
      </c>
      <c r="K1" s="5" t="s">
        <v>250</v>
      </c>
    </row>
    <row r="2" spans="1:14">
      <c r="A2" s="4" t="s">
        <v>14</v>
      </c>
      <c r="B2" s="4" t="s">
        <v>15</v>
      </c>
      <c r="C2" s="4" t="s">
        <v>247</v>
      </c>
      <c r="D2" s="1" t="s">
        <v>16</v>
      </c>
      <c r="E2" s="27" t="str">
        <f>CONCATENATE("Cadiz_2025_", IF(B2 = "Leaves", "L", IF(B2 = "Roots", "R", "NA")), "_", D2)</f>
        <v>Cadiz_2025_L_01</v>
      </c>
      <c r="F2" s="27" t="s">
        <v>257</v>
      </c>
      <c r="G2" s="6">
        <f>IFERROR(VLOOKUP(CONCATENATE(E2, "_01"),raw!$E$2:$J$61,6)*1000, "NA")</f>
        <v>8460</v>
      </c>
      <c r="H2" s="6">
        <f>IF($F2= "bare", 0, IFERROR(INDEX(carbon!$A$14:$J$48,MATCH("*"&amp;data!$E2&amp;"*",carbon!$A$14:$A$48,0),2), "NA") )</f>
        <v>97.99</v>
      </c>
      <c r="I2" s="6">
        <f>IF($F2= "bare", 0, IFERROR(INDEX(carbon!$A$14:$J$48,MATCH("*"&amp;data!$E2&amp;"*",carbon!$A$14:$A$48,0),4), "NA") )</f>
        <v>31.56</v>
      </c>
      <c r="J2" s="6">
        <f>IF($F2= "bare", 0, IFERROR(INDEX(carbon!$A$14:$J$48,MATCH("*"&amp;data!$E2&amp;"*",carbon!$A$14:$A$48,0),6), "NA") )</f>
        <v>315.60000000000002</v>
      </c>
      <c r="K2" s="6">
        <f>IF($F2= "bare", 0, IFERROR(INDEX(carbon!$A$14:$J$48,MATCH("*"&amp;data!$E2&amp;"*",carbon!$A$14:$A$48,0),8), "NA") )</f>
        <v>3.6080000000000001</v>
      </c>
    </row>
    <row r="3" spans="1:14">
      <c r="A3" s="4" t="s">
        <v>14</v>
      </c>
      <c r="B3" s="4" t="s">
        <v>15</v>
      </c>
      <c r="C3" s="4" t="s">
        <v>247</v>
      </c>
      <c r="D3" s="1" t="s">
        <v>18</v>
      </c>
      <c r="E3" s="27" t="str">
        <f t="shared" ref="E3:E61" si="0">CONCATENATE("Cadiz_2025_", IF(B3 = "Leaves", "L", IF(B3 = "Roots", "R", "NA")), "_", D3)</f>
        <v>Cadiz_2025_L_02</v>
      </c>
      <c r="F3" s="27" t="s">
        <v>257</v>
      </c>
      <c r="G3" s="6">
        <f>IFERROR(VLOOKUP(CONCATENATE(E3, "_01"),raw!$E$2:$J$61,6)*1000, "NA")</f>
        <v>793.99999999999989</v>
      </c>
      <c r="H3" s="6">
        <f>IF($F3= "bare", 0, IFERROR(INDEX(carbon!$A$14:$J$48,MATCH("*"&amp;data!$E3&amp;"*",carbon!$A$14:$A$48,0),2), "NA") )</f>
        <v>70.47</v>
      </c>
      <c r="I3" s="6">
        <f>IF($F3= "bare", 0, IFERROR(INDEX(carbon!$A$14:$J$48,MATCH("*"&amp;data!$E3&amp;"*",carbon!$A$14:$A$48,0),4), "NA") )</f>
        <v>22.05</v>
      </c>
      <c r="J3" s="6">
        <f>IF($F3= "bare", 0, IFERROR(INDEX(carbon!$A$14:$J$48,MATCH("*"&amp;data!$E3&amp;"*",carbon!$A$14:$A$48,0),6), "NA") )</f>
        <v>351.92</v>
      </c>
      <c r="K3" s="6">
        <f>IF($F3= "bare", 0, IFERROR(INDEX(carbon!$A$14:$J$48,MATCH("*"&amp;data!$E3&amp;"*",carbon!$A$14:$A$48,0),8), "NA") )</f>
        <v>3.5630000000000002</v>
      </c>
      <c r="N3" s="4"/>
    </row>
    <row r="4" spans="1:14">
      <c r="A4" s="4" t="s">
        <v>14</v>
      </c>
      <c r="B4" s="4" t="s">
        <v>15</v>
      </c>
      <c r="C4" s="4" t="s">
        <v>247</v>
      </c>
      <c r="D4" s="1" t="s">
        <v>20</v>
      </c>
      <c r="E4" s="27" t="str">
        <f t="shared" si="0"/>
        <v>Cadiz_2025_L_03</v>
      </c>
      <c r="F4" s="27" t="s">
        <v>257</v>
      </c>
      <c r="G4" s="6">
        <f>IFERROR(VLOOKUP(CONCATENATE(E4, "_01"),raw!$E$2:$J$61,6)*1000, "NA")</f>
        <v>13930.000000000002</v>
      </c>
      <c r="H4" s="6">
        <f>IF($F4= "bare", 0, IFERROR(INDEX(carbon!$A$14:$J$48,MATCH("*"&amp;data!$E4&amp;"*",carbon!$A$14:$A$48,0),2), "NA") )</f>
        <v>79.33</v>
      </c>
      <c r="I4" s="6">
        <f>IF($F4= "bare", 0, IFERROR(INDEX(carbon!$A$14:$J$48,MATCH("*"&amp;data!$E4&amp;"*",carbon!$A$14:$A$48,0),4), "NA") )</f>
        <v>23.98</v>
      </c>
      <c r="J4" s="6">
        <f>IF($F4= "bare", 0, IFERROR(INDEX(carbon!$A$14:$J$48,MATCH("*"&amp;data!$E4&amp;"*",carbon!$A$14:$A$48,0),6), "NA") )</f>
        <v>320.35000000000002</v>
      </c>
      <c r="K4" s="6">
        <f>IF($F4= "bare", 0, IFERROR(INDEX(carbon!$A$14:$J$48,MATCH("*"&amp;data!$E4&amp;"*",carbon!$A$14:$A$48,0),8), "NA") )</f>
        <v>2.6360000000000001</v>
      </c>
      <c r="N4" s="4"/>
    </row>
    <row r="5" spans="1:14">
      <c r="A5" s="4" t="s">
        <v>14</v>
      </c>
      <c r="B5" s="4" t="s">
        <v>15</v>
      </c>
      <c r="C5" s="4" t="s">
        <v>247</v>
      </c>
      <c r="D5" s="1" t="s">
        <v>22</v>
      </c>
      <c r="E5" s="27" t="str">
        <f t="shared" si="0"/>
        <v>Cadiz_2025_L_04</v>
      </c>
      <c r="F5" s="27" t="s">
        <v>257</v>
      </c>
      <c r="G5" s="6">
        <f>IFERROR(VLOOKUP(CONCATENATE(E5, "_01"),raw!$E$2:$J$61,6)*1000, "NA")</f>
        <v>8146.0000000000009</v>
      </c>
      <c r="H5" s="6">
        <f>IF($F5= "bare", 0, IFERROR(INDEX(carbon!$A$14:$J$48,MATCH("*"&amp;data!$E5&amp;"*",carbon!$A$14:$A$48,0),2), "NA") )</f>
        <v>73.989999999999995</v>
      </c>
      <c r="I5" s="6">
        <f>IF($F5= "bare", 0, IFERROR(INDEX(carbon!$A$14:$J$48,MATCH("*"&amp;data!$E5&amp;"*",carbon!$A$14:$A$48,0),4), "NA") )</f>
        <v>24.5</v>
      </c>
      <c r="J5" s="6">
        <f>IF($F5= "bare", 0, IFERROR(INDEX(carbon!$A$14:$J$48,MATCH("*"&amp;data!$E5&amp;"*",carbon!$A$14:$A$48,0),6), "NA") )</f>
        <v>281.98</v>
      </c>
      <c r="K5" s="6">
        <f>IF($F5= "bare", 0, IFERROR(INDEX(carbon!$A$14:$J$48,MATCH("*"&amp;data!$E5&amp;"*",carbon!$A$14:$A$48,0),8), "NA") )</f>
        <v>3.1829999999999998</v>
      </c>
    </row>
    <row r="6" spans="1:14">
      <c r="A6" s="4" t="s">
        <v>14</v>
      </c>
      <c r="B6" s="4" t="s">
        <v>15</v>
      </c>
      <c r="C6" s="4" t="s">
        <v>247</v>
      </c>
      <c r="D6" s="1" t="s">
        <v>24</v>
      </c>
      <c r="E6" s="27" t="str">
        <f t="shared" si="0"/>
        <v>Cadiz_2025_L_05</v>
      </c>
      <c r="F6" s="27" t="s">
        <v>257</v>
      </c>
      <c r="G6" s="6">
        <f>IFERROR(VLOOKUP(CONCATENATE(E6, "_01"),raw!$E$2:$J$61,6)*1000, "NA")</f>
        <v>13270</v>
      </c>
      <c r="H6" s="6">
        <f>IF($F6= "bare", 0, IFERROR(INDEX(carbon!$A$14:$J$48,MATCH("*"&amp;data!$E6&amp;"*",carbon!$A$14:$A$48,0),2), "NA") )</f>
        <v>74.010000000000005</v>
      </c>
      <c r="I6" s="6">
        <f>IF($F6= "bare", 0, IFERROR(INDEX(carbon!$A$14:$J$48,MATCH("*"&amp;data!$E6&amp;"*",carbon!$A$14:$A$48,0),4), "NA") )</f>
        <v>18.350000000000001</v>
      </c>
      <c r="J6" s="6">
        <f>IF($F6= "bare", 0, IFERROR(INDEX(carbon!$A$14:$J$48,MATCH("*"&amp;data!$E6&amp;"*",carbon!$A$14:$A$48,0),6), "NA") )</f>
        <v>727.36</v>
      </c>
      <c r="K6" s="6">
        <f>IF($F6= "bare", 0, IFERROR(INDEX(carbon!$A$14:$J$48,MATCH("*"&amp;data!$E6&amp;"*",carbon!$A$14:$A$48,0),8), "NA") )</f>
        <v>6.2670000000000003</v>
      </c>
    </row>
    <row r="7" spans="1:14">
      <c r="A7" s="4" t="s">
        <v>14</v>
      </c>
      <c r="B7" s="4" t="s">
        <v>15</v>
      </c>
      <c r="C7" s="4" t="s">
        <v>247</v>
      </c>
      <c r="D7" s="1" t="s">
        <v>26</v>
      </c>
      <c r="E7" s="27" t="str">
        <f t="shared" si="0"/>
        <v>Cadiz_2025_L_06</v>
      </c>
      <c r="F7" s="27" t="s">
        <v>257</v>
      </c>
      <c r="G7" s="6">
        <f>IFERROR(VLOOKUP(CONCATENATE(E7, "_01"),raw!$E$2:$J$61,6)*1000, "NA")</f>
        <v>7310</v>
      </c>
      <c r="H7" s="6">
        <f>IF($F7= "bare", 0, IFERROR(INDEX(carbon!$A$14:$J$48,MATCH("*"&amp;data!$E7&amp;"*",carbon!$A$14:$A$48,0),2), "NA") )</f>
        <v>68.98</v>
      </c>
      <c r="I7" s="6">
        <f>IF($F7= "bare", 0, IFERROR(INDEX(carbon!$A$14:$J$48,MATCH("*"&amp;data!$E7&amp;"*",carbon!$A$14:$A$48,0),4), "NA") )</f>
        <v>21.48</v>
      </c>
      <c r="J7" s="6">
        <f>IF($F7= "bare", 0, IFERROR(INDEX(carbon!$A$14:$J$48,MATCH("*"&amp;data!$E7&amp;"*",carbon!$A$14:$A$48,0),6), "NA") )</f>
        <v>657</v>
      </c>
      <c r="K7" s="6">
        <f>IF($F7= "bare", 0, IFERROR(INDEX(carbon!$A$14:$J$48,MATCH("*"&amp;data!$E7&amp;"*",carbon!$A$14:$A$48,0),8), "NA") )</f>
        <v>4.5510000000000002</v>
      </c>
    </row>
    <row r="8" spans="1:14">
      <c r="A8" s="4" t="s">
        <v>14</v>
      </c>
      <c r="B8" s="4" t="s">
        <v>15</v>
      </c>
      <c r="C8" s="4" t="s">
        <v>247</v>
      </c>
      <c r="D8" s="1" t="s">
        <v>28</v>
      </c>
      <c r="E8" s="27" t="str">
        <f t="shared" si="0"/>
        <v>Cadiz_2025_L_07</v>
      </c>
      <c r="F8" s="27" t="s">
        <v>257</v>
      </c>
      <c r="G8" s="6">
        <f>IFERROR(VLOOKUP(CONCATENATE(E8, "_01"),raw!$E$2:$J$61,6)*1000, "NA")</f>
        <v>10270</v>
      </c>
      <c r="H8" s="6">
        <f>IF($F8= "bare", 0, IFERROR(INDEX(carbon!$A$14:$J$48,MATCH("*"&amp;data!$E8&amp;"*",carbon!$A$14:$A$48,0),2), "NA") )</f>
        <v>73.849999999999994</v>
      </c>
      <c r="I8" s="6">
        <f>IF($F8= "bare", 0, IFERROR(INDEX(carbon!$A$14:$J$48,MATCH("*"&amp;data!$E8&amp;"*",carbon!$A$14:$A$48,0),4), "NA") )</f>
        <v>22.28</v>
      </c>
      <c r="J8" s="6">
        <f>IF($F8= "bare", 0, IFERROR(INDEX(carbon!$A$14:$J$48,MATCH("*"&amp;data!$E8&amp;"*",carbon!$A$14:$A$48,0),6), "NA") )</f>
        <v>334.55</v>
      </c>
      <c r="K8" s="6">
        <f>IF($F8= "bare", 0, IFERROR(INDEX(carbon!$A$14:$J$48,MATCH("*"&amp;data!$E8&amp;"*",carbon!$A$14:$A$48,0),8), "NA") )</f>
        <v>2.835</v>
      </c>
    </row>
    <row r="9" spans="1:14">
      <c r="A9" s="4" t="s">
        <v>14</v>
      </c>
      <c r="B9" s="4" t="s">
        <v>15</v>
      </c>
      <c r="C9" s="4" t="s">
        <v>247</v>
      </c>
      <c r="D9" s="1" t="s">
        <v>30</v>
      </c>
      <c r="E9" s="27" t="str">
        <f t="shared" si="0"/>
        <v>Cadiz_2025_L_08</v>
      </c>
      <c r="F9" s="27" t="s">
        <v>257</v>
      </c>
      <c r="G9" s="6">
        <f>IFERROR(VLOOKUP(CONCATENATE(E9, "_01"),raw!$E$2:$J$61,6)*1000, "NA")</f>
        <v>8690</v>
      </c>
      <c r="H9" s="6">
        <f>IF($F9= "bare", 0, IFERROR(INDEX(carbon!$A$14:$J$48,MATCH("*"&amp;data!$E9&amp;"*",carbon!$A$14:$A$48,0),2), "NA") )</f>
        <v>74.849999999999994</v>
      </c>
      <c r="I9" s="6">
        <f>IF($F9= "bare", 0, IFERROR(INDEX(carbon!$A$14:$J$48,MATCH("*"&amp;data!$E9&amp;"*",carbon!$A$14:$A$48,0),4), "NA") )</f>
        <v>24.41</v>
      </c>
      <c r="J9" s="6">
        <f>IF($F9= "bare", 0, IFERROR(INDEX(carbon!$A$14:$J$48,MATCH("*"&amp;data!$E9&amp;"*",carbon!$A$14:$A$48,0),6), "NA") )</f>
        <v>260.41000000000003</v>
      </c>
      <c r="K9" s="6">
        <f>IF($F9= "bare", 0, IFERROR(INDEX(carbon!$A$14:$J$48,MATCH("*"&amp;data!$E9&amp;"*",carbon!$A$14:$A$48,0),8), "NA") )</f>
        <v>3.0739999999999998</v>
      </c>
    </row>
    <row r="10" spans="1:14">
      <c r="A10" s="4" t="s">
        <v>14</v>
      </c>
      <c r="B10" s="4" t="s">
        <v>15</v>
      </c>
      <c r="C10" s="4" t="s">
        <v>247</v>
      </c>
      <c r="D10" s="1" t="s">
        <v>32</v>
      </c>
      <c r="E10" s="27" t="str">
        <f t="shared" si="0"/>
        <v>Cadiz_2025_L_09</v>
      </c>
      <c r="F10" s="27" t="s">
        <v>257</v>
      </c>
      <c r="G10" s="6">
        <f>IFERROR(VLOOKUP(CONCATENATE(E10, "_01"),raw!$E$2:$J$61,6)*1000, "NA")</f>
        <v>9430</v>
      </c>
      <c r="H10" s="6">
        <f>IF($F10= "bare", 0, IFERROR(INDEX(carbon!$A$14:$J$48,MATCH("*"&amp;data!$E10&amp;"*",carbon!$A$14:$A$48,0),2), "NA") )</f>
        <v>68.45</v>
      </c>
      <c r="I10" s="6">
        <f>IF($F10= "bare", 0, IFERROR(INDEX(carbon!$A$14:$J$48,MATCH("*"&amp;data!$E10&amp;"*",carbon!$A$14:$A$48,0),4), "NA") )</f>
        <v>23.24</v>
      </c>
      <c r="J10" s="6">
        <f>IF($F10= "bare", 0, IFERROR(INDEX(carbon!$A$14:$J$48,MATCH("*"&amp;data!$E10&amp;"*",carbon!$A$14:$A$48,0),6), "NA") )</f>
        <v>292.89999999999998</v>
      </c>
      <c r="K10" s="6">
        <f>IF($F10= "bare", 0, IFERROR(INDEX(carbon!$A$14:$J$48,MATCH("*"&amp;data!$E10&amp;"*",carbon!$A$14:$A$48,0),8), "NA") )</f>
        <v>2.9279999999999999</v>
      </c>
    </row>
    <row r="11" spans="1:14">
      <c r="A11" s="4" t="s">
        <v>14</v>
      </c>
      <c r="B11" s="4" t="s">
        <v>15</v>
      </c>
      <c r="C11" s="4" t="s">
        <v>248</v>
      </c>
      <c r="D11" s="1" t="s">
        <v>34</v>
      </c>
      <c r="E11" s="27" t="str">
        <f t="shared" si="0"/>
        <v>Cadiz_2025_L_10</v>
      </c>
      <c r="F11" s="27" t="s">
        <v>257</v>
      </c>
      <c r="G11" s="6">
        <f>IFERROR(VLOOKUP(CONCATENATE(E11, "_01"),raw!$E$2:$J$61,6)*1000, "NA")</f>
        <v>920</v>
      </c>
      <c r="H11" s="6">
        <f>IF($F11= "bare", 0, IFERROR(INDEX(carbon!$A$14:$J$48,MATCH("*"&amp;data!$E11&amp;"*",carbon!$A$14:$A$48,0),2), "NA") )</f>
        <v>72.59</v>
      </c>
      <c r="I11" s="6">
        <f>IF($F11= "bare", 0, IFERROR(INDEX(carbon!$A$14:$J$48,MATCH("*"&amp;data!$E11&amp;"*",carbon!$A$14:$A$48,0),4), "NA") )</f>
        <v>16.37</v>
      </c>
      <c r="J11" s="6">
        <f>IF($F11= "bare", 0, IFERROR(INDEX(carbon!$A$14:$J$48,MATCH("*"&amp;data!$E11&amp;"*",carbon!$A$14:$A$48,0),6), "NA") )</f>
        <v>590.16</v>
      </c>
      <c r="K11" s="6">
        <f>IF($F11= "bare", 0, IFERROR(INDEX(carbon!$A$14:$J$48,MATCH("*"&amp;data!$E11&amp;"*",carbon!$A$14:$A$48,0),8), "NA") )</f>
        <v>4.2939999999999996</v>
      </c>
    </row>
    <row r="12" spans="1:14">
      <c r="A12" s="4" t="s">
        <v>14</v>
      </c>
      <c r="B12" s="4" t="s">
        <v>15</v>
      </c>
      <c r="C12" s="4" t="s">
        <v>248</v>
      </c>
      <c r="D12" s="1" t="s">
        <v>36</v>
      </c>
      <c r="E12" s="27" t="str">
        <f t="shared" si="0"/>
        <v>Cadiz_2025_L_11</v>
      </c>
      <c r="F12" s="27" t="s">
        <v>257</v>
      </c>
      <c r="G12" s="6">
        <f>IFERROR(VLOOKUP(CONCATENATE(E12, "_01"),raw!$E$2:$J$61,6)*1000, "NA")</f>
        <v>722</v>
      </c>
      <c r="H12" s="6">
        <f>IF($F12= "bare", 0, IFERROR(INDEX(carbon!$A$14:$J$48,MATCH("*"&amp;data!$E12&amp;"*",carbon!$A$14:$A$48,0),2), "NA") )</f>
        <v>75.22</v>
      </c>
      <c r="I12" s="6">
        <f>IF($F12= "bare", 0, IFERROR(INDEX(carbon!$A$14:$J$48,MATCH("*"&amp;data!$E12&amp;"*",carbon!$A$14:$A$48,0),4), "NA") )</f>
        <v>23.63</v>
      </c>
      <c r="J12" s="6">
        <f>IF($F12= "bare", 0, IFERROR(INDEX(carbon!$A$14:$J$48,MATCH("*"&amp;data!$E12&amp;"*",carbon!$A$14:$A$48,0),6), "NA") )</f>
        <v>349</v>
      </c>
      <c r="K12" s="6">
        <f>IF($F12= "bare", 0, IFERROR(INDEX(carbon!$A$14:$J$48,MATCH("*"&amp;data!$E12&amp;"*",carbon!$A$14:$A$48,0),8), "NA") )</f>
        <v>3.524</v>
      </c>
    </row>
    <row r="13" spans="1:14">
      <c r="A13" s="4" t="s">
        <v>14</v>
      </c>
      <c r="B13" s="4" t="s">
        <v>15</v>
      </c>
      <c r="C13" s="4" t="s">
        <v>248</v>
      </c>
      <c r="D13" s="1" t="s">
        <v>38</v>
      </c>
      <c r="E13" s="27" t="str">
        <f t="shared" si="0"/>
        <v>Cadiz_2025_L_12</v>
      </c>
      <c r="F13" s="27" t="s">
        <v>257</v>
      </c>
      <c r="G13" s="6">
        <f>IFERROR(VLOOKUP(CONCATENATE(E13, "_01"),raw!$E$2:$J$61,6)*1000, "NA")</f>
        <v>593.99999999999989</v>
      </c>
      <c r="H13" s="6">
        <f>IF($F13= "bare", 0, IFERROR(INDEX(carbon!$A$14:$J$48,MATCH("*"&amp;data!$E13&amp;"*",carbon!$A$14:$A$48,0),2), "NA") )</f>
        <v>76.19</v>
      </c>
      <c r="I13" s="6">
        <f>IF($F13= "bare", 0, IFERROR(INDEX(carbon!$A$14:$J$48,MATCH("*"&amp;data!$E13&amp;"*",carbon!$A$14:$A$48,0),4), "NA") )</f>
        <v>22.04</v>
      </c>
      <c r="J13" s="6">
        <f>IF($F13= "bare", 0, IFERROR(INDEX(carbon!$A$14:$J$48,MATCH("*"&amp;data!$E13&amp;"*",carbon!$A$14:$A$48,0),6), "NA") )</f>
        <v>298.7</v>
      </c>
      <c r="K13" s="6">
        <f>IF($F13= "bare", 0, IFERROR(INDEX(carbon!$A$14:$J$48,MATCH("*"&amp;data!$E13&amp;"*",carbon!$A$14:$A$48,0),8), "NA") )</f>
        <v>3.5750000000000002</v>
      </c>
    </row>
    <row r="14" spans="1:14">
      <c r="A14" s="4" t="s">
        <v>14</v>
      </c>
      <c r="B14" s="4" t="s">
        <v>15</v>
      </c>
      <c r="C14" s="4" t="s">
        <v>248</v>
      </c>
      <c r="D14" s="1" t="s">
        <v>40</v>
      </c>
      <c r="E14" s="27" t="str">
        <f t="shared" si="0"/>
        <v>Cadiz_2025_L_13</v>
      </c>
      <c r="F14" s="27" t="s">
        <v>257</v>
      </c>
      <c r="G14" s="6">
        <f>IFERROR(VLOOKUP(CONCATENATE(E14, "_01"),raw!$E$2:$J$61,6)*1000, "NA")</f>
        <v>1181</v>
      </c>
      <c r="H14" s="6">
        <f>IF($F14= "bare", 0, IFERROR(INDEX(carbon!$A$14:$J$48,MATCH("*"&amp;data!$E14&amp;"*",carbon!$A$14:$A$48,0),2), "NA") )</f>
        <v>70.72</v>
      </c>
      <c r="I14" s="6">
        <f>IF($F14= "bare", 0, IFERROR(INDEX(carbon!$A$14:$J$48,MATCH("*"&amp;data!$E14&amp;"*",carbon!$A$14:$A$48,0),4), "NA") )</f>
        <v>16.399999999999999</v>
      </c>
      <c r="J14" s="6">
        <f>IF($F14= "bare", 0, IFERROR(INDEX(carbon!$A$14:$J$48,MATCH("*"&amp;data!$E14&amp;"*",carbon!$A$14:$A$48,0),6), "NA") )</f>
        <v>373.3</v>
      </c>
      <c r="K14" s="6">
        <f>IF($F14= "bare", 0, IFERROR(INDEX(carbon!$A$14:$J$48,MATCH("*"&amp;data!$E14&amp;"*",carbon!$A$14:$A$48,0),8), "NA") )</f>
        <v>8.2360000000000007</v>
      </c>
    </row>
    <row r="15" spans="1:14">
      <c r="A15" s="4" t="s">
        <v>14</v>
      </c>
      <c r="B15" s="4" t="s">
        <v>15</v>
      </c>
      <c r="C15" s="4" t="s">
        <v>248</v>
      </c>
      <c r="D15" s="1" t="s">
        <v>42</v>
      </c>
      <c r="E15" s="27" t="str">
        <f t="shared" si="0"/>
        <v>Cadiz_2025_L_14</v>
      </c>
      <c r="F15" s="27" t="s">
        <v>257</v>
      </c>
      <c r="G15" s="6">
        <f>IFERROR(VLOOKUP(CONCATENATE(E15, "_01"),raw!$E$2:$J$61,6)*1000, "NA")</f>
        <v>1251.9999999999998</v>
      </c>
      <c r="H15" s="6">
        <f>IF($F15= "bare", 0, IFERROR(INDEX(carbon!$A$14:$J$48,MATCH("*"&amp;data!$E15&amp;"*",carbon!$A$14:$A$48,0),2), "NA") )</f>
        <v>66.72</v>
      </c>
      <c r="I15" s="6">
        <f>IF($F15= "bare", 0, IFERROR(INDEX(carbon!$A$14:$J$48,MATCH("*"&amp;data!$E15&amp;"*",carbon!$A$14:$A$48,0),4), "NA") )</f>
        <v>16.18</v>
      </c>
      <c r="J15" s="6">
        <f>IF($F15= "bare", 0, IFERROR(INDEX(carbon!$A$14:$J$48,MATCH("*"&amp;data!$E15&amp;"*",carbon!$A$14:$A$48,0),6), "NA") )</f>
        <v>339.66</v>
      </c>
      <c r="K15" s="6">
        <f>IF($F15= "bare", 0, IFERROR(INDEX(carbon!$A$14:$J$48,MATCH("*"&amp;data!$E15&amp;"*",carbon!$A$14:$A$48,0),8), "NA") )</f>
        <v>5.8449999999999998</v>
      </c>
    </row>
    <row r="16" spans="1:14">
      <c r="A16" s="4" t="s">
        <v>14</v>
      </c>
      <c r="B16" s="4" t="s">
        <v>15</v>
      </c>
      <c r="C16" s="4" t="s">
        <v>248</v>
      </c>
      <c r="D16" s="1" t="s">
        <v>44</v>
      </c>
      <c r="E16" s="27" t="str">
        <f t="shared" si="0"/>
        <v>Cadiz_2025_L_15</v>
      </c>
      <c r="F16" s="27" t="s">
        <v>257</v>
      </c>
      <c r="G16" s="6">
        <f>IFERROR(VLOOKUP(CONCATENATE(E16, "_01"),raw!$E$2:$J$61,6)*1000, "NA")</f>
        <v>1392.0000000000002</v>
      </c>
      <c r="H16" s="6">
        <f>IF($F16= "bare", 0, IFERROR(INDEX(carbon!$A$14:$J$48,MATCH("*"&amp;data!$E16&amp;"*",carbon!$A$14:$A$48,0),2), "NA") )</f>
        <v>65.709999999999994</v>
      </c>
      <c r="I16" s="6">
        <f>IF($F16= "bare", 0, IFERROR(INDEX(carbon!$A$14:$J$48,MATCH("*"&amp;data!$E16&amp;"*",carbon!$A$14:$A$48,0),4), "NA") )</f>
        <v>7.91</v>
      </c>
      <c r="J16" s="6">
        <f>IF($F16= "bare", 0, IFERROR(INDEX(carbon!$A$14:$J$48,MATCH("*"&amp;data!$E16&amp;"*",carbon!$A$14:$A$48,0),6), "NA") )</f>
        <v>529.88</v>
      </c>
      <c r="K16" s="6">
        <f>IF($F16= "bare", 0, IFERROR(INDEX(carbon!$A$14:$J$48,MATCH("*"&amp;data!$E16&amp;"*",carbon!$A$14:$A$48,0),8), "NA") )</f>
        <v>8.02</v>
      </c>
    </row>
    <row r="17" spans="1:11">
      <c r="A17" s="4" t="s">
        <v>14</v>
      </c>
      <c r="B17" s="4" t="s">
        <v>15</v>
      </c>
      <c r="C17" s="4" t="s">
        <v>248</v>
      </c>
      <c r="D17" s="1" t="s">
        <v>46</v>
      </c>
      <c r="E17" s="27" t="str">
        <f t="shared" si="0"/>
        <v>Cadiz_2025_L_16</v>
      </c>
      <c r="F17" s="27" t="s">
        <v>257</v>
      </c>
      <c r="G17" s="6">
        <f>IFERROR(VLOOKUP(CONCATENATE(E17, "_01"),raw!$E$2:$J$61,6)*1000, "NA")</f>
        <v>1111</v>
      </c>
      <c r="H17" s="6">
        <f>IF($F17= "bare", 0, IFERROR(INDEX(carbon!$A$14:$J$48,MATCH("*"&amp;data!$E17&amp;"*",carbon!$A$14:$A$48,0),2), "NA") )</f>
        <v>68.989999999999995</v>
      </c>
      <c r="I17" s="6">
        <f>IF($F17= "bare", 0, IFERROR(INDEX(carbon!$A$14:$J$48,MATCH("*"&amp;data!$E17&amp;"*",carbon!$A$14:$A$48,0),4), "NA") )</f>
        <v>18.23</v>
      </c>
      <c r="J17" s="6">
        <f>IF($F17= "bare", 0, IFERROR(INDEX(carbon!$A$14:$J$48,MATCH("*"&amp;data!$E17&amp;"*",carbon!$A$14:$A$48,0),6), "NA") )</f>
        <v>386.41</v>
      </c>
      <c r="K17" s="6">
        <f>IF($F17= "bare", 0, IFERROR(INDEX(carbon!$A$14:$J$48,MATCH("*"&amp;data!$E17&amp;"*",carbon!$A$14:$A$48,0),8), "NA") )</f>
        <v>4.0739999999999998</v>
      </c>
    </row>
    <row r="18" spans="1:11">
      <c r="A18" s="4" t="s">
        <v>14</v>
      </c>
      <c r="B18" s="4" t="s">
        <v>15</v>
      </c>
      <c r="C18" s="4" t="s">
        <v>248</v>
      </c>
      <c r="D18" s="1" t="s">
        <v>48</v>
      </c>
      <c r="E18" s="27" t="str">
        <f t="shared" si="0"/>
        <v>Cadiz_2025_L_17</v>
      </c>
      <c r="F18" s="27" t="s">
        <v>257</v>
      </c>
      <c r="G18" s="6">
        <f>IFERROR(VLOOKUP(CONCATENATE(E18, "_01"),raw!$E$2:$J$61,6)*1000, "NA")</f>
        <v>1141.0000000000002</v>
      </c>
      <c r="H18" s="6">
        <f>IF($F18= "bare", 0, IFERROR(INDEX(carbon!$A$14:$J$48,MATCH("*"&amp;data!$E18&amp;"*",carbon!$A$14:$A$48,0),2), "NA") )</f>
        <v>71.47</v>
      </c>
      <c r="I18" s="6">
        <f>IF($F18= "bare", 0, IFERROR(INDEX(carbon!$A$14:$J$48,MATCH("*"&amp;data!$E18&amp;"*",carbon!$A$14:$A$48,0),4), "NA") )</f>
        <v>17.64</v>
      </c>
      <c r="J18" s="6">
        <f>IF($F18= "bare", 0, IFERROR(INDEX(carbon!$A$14:$J$48,MATCH("*"&amp;data!$E18&amp;"*",carbon!$A$14:$A$48,0),6), "NA") )</f>
        <v>393.52</v>
      </c>
      <c r="K18" s="6">
        <f>IF($F18= "bare", 0, IFERROR(INDEX(carbon!$A$14:$J$48,MATCH("*"&amp;data!$E18&amp;"*",carbon!$A$14:$A$48,0),8), "NA") )</f>
        <v>2.496</v>
      </c>
    </row>
    <row r="19" spans="1:11">
      <c r="A19" s="4" t="s">
        <v>14</v>
      </c>
      <c r="B19" s="4" t="s">
        <v>15</v>
      </c>
      <c r="C19" s="4" t="s">
        <v>249</v>
      </c>
      <c r="D19" s="1" t="s">
        <v>50</v>
      </c>
      <c r="E19" s="27" t="str">
        <f t="shared" si="0"/>
        <v>Cadiz_2025_L_18</v>
      </c>
      <c r="F19" s="27" t="s">
        <v>258</v>
      </c>
      <c r="G19" s="6">
        <f>IFERROR(VLOOKUP(CONCATENATE(E19, "_01"),raw!$E$2:$J$61,6)*1000, "NA")</f>
        <v>-531</v>
      </c>
      <c r="H19" s="6">
        <f>IF($F19= "bare", 0, IFERROR(INDEX(carbon!$A$14:$J$48,MATCH("*"&amp;data!$E19&amp;"*",carbon!$A$14:$A$48,0),2), "NA") )</f>
        <v>0</v>
      </c>
      <c r="I19" s="6">
        <f>IF($F19= "bare", 0, IFERROR(INDEX(carbon!$A$14:$J$48,MATCH("*"&amp;data!$E19&amp;"*",carbon!$A$14:$A$48,0),4), "NA") )</f>
        <v>0</v>
      </c>
      <c r="J19" s="6">
        <f>IF($F19= "bare", 0, IFERROR(INDEX(carbon!$A$14:$J$48,MATCH("*"&amp;data!$E19&amp;"*",carbon!$A$14:$A$48,0),6), "NA") )</f>
        <v>0</v>
      </c>
      <c r="K19" s="6">
        <f>IF($F19= "bare", 0, IFERROR(INDEX(carbon!$A$14:$J$48,MATCH("*"&amp;data!$E19&amp;"*",carbon!$A$14:$A$48,0),8), "NA") )</f>
        <v>0</v>
      </c>
    </row>
    <row r="20" spans="1:11">
      <c r="A20" s="4" t="s">
        <v>14</v>
      </c>
      <c r="B20" s="4" t="s">
        <v>15</v>
      </c>
      <c r="C20" s="4" t="s">
        <v>249</v>
      </c>
      <c r="D20" s="1" t="s">
        <v>52</v>
      </c>
      <c r="E20" s="27" t="str">
        <f t="shared" si="0"/>
        <v>Cadiz_2025_L_19</v>
      </c>
      <c r="F20" s="27" t="s">
        <v>258</v>
      </c>
      <c r="G20" s="6">
        <f>IFERROR(VLOOKUP(CONCATENATE(E20, "_01"),raw!$E$2:$J$61,6)*1000, "NA")</f>
        <v>50.999999999999993</v>
      </c>
      <c r="H20" s="6">
        <f>IF($F20= "bare", 0, IFERROR(INDEX(carbon!$A$14:$J$48,MATCH("*"&amp;data!$E20&amp;"*",carbon!$A$14:$A$48,0),2), "NA") )</f>
        <v>0</v>
      </c>
      <c r="I20" s="6">
        <f>IF($F20= "bare", 0, IFERROR(INDEX(carbon!$A$14:$J$48,MATCH("*"&amp;data!$E20&amp;"*",carbon!$A$14:$A$48,0),4), "NA") )</f>
        <v>0</v>
      </c>
      <c r="J20" s="6">
        <f>IF($F20= "bare", 0, IFERROR(INDEX(carbon!$A$14:$J$48,MATCH("*"&amp;data!$E20&amp;"*",carbon!$A$14:$A$48,0),6), "NA") )</f>
        <v>0</v>
      </c>
      <c r="K20" s="6">
        <f>IF($F20= "bare", 0, IFERROR(INDEX(carbon!$A$14:$J$48,MATCH("*"&amp;data!$E20&amp;"*",carbon!$A$14:$A$48,0),8), "NA") )</f>
        <v>0</v>
      </c>
    </row>
    <row r="21" spans="1:11">
      <c r="A21" s="4" t="s">
        <v>14</v>
      </c>
      <c r="B21" s="4" t="s">
        <v>15</v>
      </c>
      <c r="C21" s="4" t="s">
        <v>249</v>
      </c>
      <c r="D21" s="1" t="s">
        <v>54</v>
      </c>
      <c r="E21" s="27" t="str">
        <f t="shared" si="0"/>
        <v>Cadiz_2025_L_20</v>
      </c>
      <c r="F21" s="27" t="s">
        <v>258</v>
      </c>
      <c r="G21" s="6">
        <f>IFERROR(VLOOKUP(CONCATENATE(E21, "_01"),raw!$E$2:$J$61,6)*1000, "NA")</f>
        <v>0</v>
      </c>
      <c r="H21" s="6">
        <f>IF($F21= "bare", 0, IFERROR(INDEX(carbon!$A$14:$J$48,MATCH("*"&amp;data!$E21&amp;"*",carbon!$A$14:$A$48,0),2), "NA") )</f>
        <v>0</v>
      </c>
      <c r="I21" s="6">
        <f>IF($F21= "bare", 0, IFERROR(INDEX(carbon!$A$14:$J$48,MATCH("*"&amp;data!$E21&amp;"*",carbon!$A$14:$A$48,0),4), "NA") )</f>
        <v>0</v>
      </c>
      <c r="J21" s="6">
        <f>IF($F21= "bare", 0, IFERROR(INDEX(carbon!$A$14:$J$48,MATCH("*"&amp;data!$E21&amp;"*",carbon!$A$14:$A$48,0),6), "NA") )</f>
        <v>0</v>
      </c>
      <c r="K21" s="6">
        <f>IF($F21= "bare", 0, IFERROR(INDEX(carbon!$A$14:$J$48,MATCH("*"&amp;data!$E21&amp;"*",carbon!$A$14:$A$48,0),8), "NA") )</f>
        <v>0</v>
      </c>
    </row>
    <row r="22" spans="1:11">
      <c r="A22" s="4" t="s">
        <v>14</v>
      </c>
      <c r="B22" s="4" t="s">
        <v>15</v>
      </c>
      <c r="C22" s="4" t="s">
        <v>249</v>
      </c>
      <c r="D22" s="1" t="s">
        <v>57</v>
      </c>
      <c r="E22" s="27" t="str">
        <f t="shared" si="0"/>
        <v>Cadiz_2025_L_21</v>
      </c>
      <c r="F22" s="27" t="s">
        <v>258</v>
      </c>
      <c r="G22" s="6">
        <f>IFERROR(VLOOKUP(CONCATENATE(E22, "_01"),raw!$E$2:$J$61,6)*1000, "NA")</f>
        <v>22.000000000000021</v>
      </c>
      <c r="H22" s="6">
        <f>IF($F22= "bare", 0, IFERROR(INDEX(carbon!$A$14:$J$48,MATCH("*"&amp;data!$E22&amp;"*",carbon!$A$14:$A$48,0),2), "NA") )</f>
        <v>0</v>
      </c>
      <c r="I22" s="6">
        <f>IF($F22= "bare", 0, IFERROR(INDEX(carbon!$A$14:$J$48,MATCH("*"&amp;data!$E22&amp;"*",carbon!$A$14:$A$48,0),4), "NA") )</f>
        <v>0</v>
      </c>
      <c r="J22" s="6">
        <f>IF($F22= "bare", 0, IFERROR(INDEX(carbon!$A$14:$J$48,MATCH("*"&amp;data!$E22&amp;"*",carbon!$A$14:$A$48,0),6), "NA") )</f>
        <v>0</v>
      </c>
      <c r="K22" s="6">
        <f>IF($F22= "bare", 0, IFERROR(INDEX(carbon!$A$14:$J$48,MATCH("*"&amp;data!$E22&amp;"*",carbon!$A$14:$A$48,0),8), "NA") )</f>
        <v>0</v>
      </c>
    </row>
    <row r="23" spans="1:11">
      <c r="A23" s="4" t="s">
        <v>14</v>
      </c>
      <c r="B23" s="4" t="s">
        <v>15</v>
      </c>
      <c r="C23" s="4" t="s">
        <v>249</v>
      </c>
      <c r="D23" s="1" t="s">
        <v>59</v>
      </c>
      <c r="E23" s="27" t="str">
        <f t="shared" si="0"/>
        <v>Cadiz_2025_L_22</v>
      </c>
      <c r="F23" s="27" t="s">
        <v>258</v>
      </c>
      <c r="G23" s="6">
        <f>IFERROR(VLOOKUP(CONCATENATE(E23, "_01"),raw!$E$2:$J$61,6)*1000, "NA")</f>
        <v>1444</v>
      </c>
      <c r="H23" s="6">
        <f>IF($F23= "bare", 0, IFERROR(INDEX(carbon!$A$14:$J$48,MATCH("*"&amp;data!$E23&amp;"*",carbon!$A$14:$A$48,0),2), "NA") )</f>
        <v>0</v>
      </c>
      <c r="I23" s="6">
        <f>IF($F23= "bare", 0, IFERROR(INDEX(carbon!$A$14:$J$48,MATCH("*"&amp;data!$E23&amp;"*",carbon!$A$14:$A$48,0),4), "NA") )</f>
        <v>0</v>
      </c>
      <c r="J23" s="6">
        <f>IF($F23= "bare", 0, IFERROR(INDEX(carbon!$A$14:$J$48,MATCH("*"&amp;data!$E23&amp;"*",carbon!$A$14:$A$48,0),6), "NA") )</f>
        <v>0</v>
      </c>
      <c r="K23" s="6">
        <f>IF($F23= "bare", 0, IFERROR(INDEX(carbon!$A$14:$J$48,MATCH("*"&amp;data!$E23&amp;"*",carbon!$A$14:$A$48,0),8), "NA") )</f>
        <v>0</v>
      </c>
    </row>
    <row r="24" spans="1:11">
      <c r="A24" s="4" t="s">
        <v>14</v>
      </c>
      <c r="B24" s="4" t="s">
        <v>15</v>
      </c>
      <c r="C24" s="4" t="s">
        <v>249</v>
      </c>
      <c r="D24" s="1" t="s">
        <v>61</v>
      </c>
      <c r="E24" s="27" t="str">
        <f t="shared" si="0"/>
        <v>Cadiz_2025_L_23</v>
      </c>
      <c r="F24" s="27" t="s">
        <v>258</v>
      </c>
      <c r="G24" s="6">
        <f>IFERROR(VLOOKUP(CONCATENATE(E24, "_01"),raw!$E$2:$J$61,6)*1000, "NA")</f>
        <v>0</v>
      </c>
      <c r="H24" s="6">
        <f>IF($F24= "bare", 0, IFERROR(INDEX(carbon!$A$14:$J$48,MATCH("*"&amp;data!$E24&amp;"*",carbon!$A$14:$A$48,0),2), "NA") )</f>
        <v>0</v>
      </c>
      <c r="I24" s="6">
        <f>IF($F24= "bare", 0, IFERROR(INDEX(carbon!$A$14:$J$48,MATCH("*"&amp;data!$E24&amp;"*",carbon!$A$14:$A$48,0),4), "NA") )</f>
        <v>0</v>
      </c>
      <c r="J24" s="6">
        <f>IF($F24= "bare", 0, IFERROR(INDEX(carbon!$A$14:$J$48,MATCH("*"&amp;data!$E24&amp;"*",carbon!$A$14:$A$48,0),6), "NA") )</f>
        <v>0</v>
      </c>
      <c r="K24" s="6">
        <f>IF($F24= "bare", 0, IFERROR(INDEX(carbon!$A$14:$J$48,MATCH("*"&amp;data!$E24&amp;"*",carbon!$A$14:$A$48,0),8), "NA") )</f>
        <v>0</v>
      </c>
    </row>
    <row r="25" spans="1:11">
      <c r="A25" s="4" t="s">
        <v>14</v>
      </c>
      <c r="B25" s="4" t="s">
        <v>15</v>
      </c>
      <c r="C25" s="4" t="s">
        <v>249</v>
      </c>
      <c r="D25" s="1" t="s">
        <v>63</v>
      </c>
      <c r="E25" s="27" t="str">
        <f t="shared" si="0"/>
        <v>Cadiz_2025_L_24</v>
      </c>
      <c r="F25" s="27" t="s">
        <v>258</v>
      </c>
      <c r="G25" s="6">
        <f>IFERROR(VLOOKUP(CONCATENATE(E25, "_01"),raw!$E$2:$J$61,6)*1000, "NA")</f>
        <v>19.000000000000018</v>
      </c>
      <c r="H25" s="6">
        <f>IF($F25= "bare", 0, IFERROR(INDEX(carbon!$A$14:$J$48,MATCH("*"&amp;data!$E25&amp;"*",carbon!$A$14:$A$48,0),2), "NA") )</f>
        <v>0</v>
      </c>
      <c r="I25" s="6">
        <f>IF($F25= "bare", 0, IFERROR(INDEX(carbon!$A$14:$J$48,MATCH("*"&amp;data!$E25&amp;"*",carbon!$A$14:$A$48,0),4), "NA") )</f>
        <v>0</v>
      </c>
      <c r="J25" s="6">
        <f>IF($F25= "bare", 0, IFERROR(INDEX(carbon!$A$14:$J$48,MATCH("*"&amp;data!$E25&amp;"*",carbon!$A$14:$A$48,0),6), "NA") )</f>
        <v>0</v>
      </c>
      <c r="K25" s="6">
        <f>IF($F25= "bare", 0, IFERROR(INDEX(carbon!$A$14:$J$48,MATCH("*"&amp;data!$E25&amp;"*",carbon!$A$14:$A$48,0),8), "NA") )</f>
        <v>0</v>
      </c>
    </row>
    <row r="26" spans="1:11">
      <c r="A26" s="4" t="s">
        <v>14</v>
      </c>
      <c r="B26" s="4" t="s">
        <v>15</v>
      </c>
      <c r="C26" s="4" t="s">
        <v>249</v>
      </c>
      <c r="D26" s="1" t="s">
        <v>65</v>
      </c>
      <c r="E26" s="27" t="str">
        <f t="shared" si="0"/>
        <v>Cadiz_2025_L_25</v>
      </c>
      <c r="F26" s="27" t="s">
        <v>258</v>
      </c>
      <c r="G26" s="6">
        <f>IFERROR(VLOOKUP(CONCATENATE(E26, "_01"),raw!$E$2:$J$61,6)*1000, "NA")</f>
        <v>39.000000000000036</v>
      </c>
      <c r="H26" s="6">
        <f>IF($F26= "bare", 0, IFERROR(INDEX(carbon!$A$14:$J$48,MATCH("*"&amp;data!$E26&amp;"*",carbon!$A$14:$A$48,0),2), "NA") )</f>
        <v>0</v>
      </c>
      <c r="I26" s="6">
        <f>IF($F26= "bare", 0, IFERROR(INDEX(carbon!$A$14:$J$48,MATCH("*"&amp;data!$E26&amp;"*",carbon!$A$14:$A$48,0),4), "NA") )</f>
        <v>0</v>
      </c>
      <c r="J26" s="6">
        <f>IF($F26= "bare", 0, IFERROR(INDEX(carbon!$A$14:$J$48,MATCH("*"&amp;data!$E26&amp;"*",carbon!$A$14:$A$48,0),6), "NA") )</f>
        <v>0</v>
      </c>
      <c r="K26" s="6">
        <f>IF($F26= "bare", 0, IFERROR(INDEX(carbon!$A$14:$J$48,MATCH("*"&amp;data!$E26&amp;"*",carbon!$A$14:$A$48,0),8), "NA") )</f>
        <v>0</v>
      </c>
    </row>
    <row r="27" spans="1:11">
      <c r="A27" s="4" t="s">
        <v>14</v>
      </c>
      <c r="B27" s="4" t="s">
        <v>15</v>
      </c>
      <c r="C27" s="4" t="s">
        <v>249</v>
      </c>
      <c r="D27" s="1" t="s">
        <v>67</v>
      </c>
      <c r="E27" s="27" t="str">
        <f t="shared" si="0"/>
        <v>Cadiz_2025_L_26</v>
      </c>
      <c r="F27" s="27" t="s">
        <v>258</v>
      </c>
      <c r="G27" s="6">
        <f>IFERROR(VLOOKUP(CONCATENATE(E27, "_01"),raw!$E$2:$J$61,6)*1000, "NA")</f>
        <v>14.000000000000012</v>
      </c>
      <c r="H27" s="6">
        <f>IF($F27= "bare", 0, IFERROR(INDEX(carbon!$A$14:$J$48,MATCH("*"&amp;data!$E27&amp;"*",carbon!$A$14:$A$48,0),2), "NA") )</f>
        <v>0</v>
      </c>
      <c r="I27" s="6">
        <f>IF($F27= "bare", 0, IFERROR(INDEX(carbon!$A$14:$J$48,MATCH("*"&amp;data!$E27&amp;"*",carbon!$A$14:$A$48,0),4), "NA") )</f>
        <v>0</v>
      </c>
      <c r="J27" s="6">
        <f>IF($F27= "bare", 0, IFERROR(INDEX(carbon!$A$14:$J$48,MATCH("*"&amp;data!$E27&amp;"*",carbon!$A$14:$A$48,0),6), "NA") )</f>
        <v>0</v>
      </c>
      <c r="K27" s="6">
        <f>IF($F27= "bare", 0, IFERROR(INDEX(carbon!$A$14:$J$48,MATCH("*"&amp;data!$E27&amp;"*",carbon!$A$14:$A$48,0),8), "NA") )</f>
        <v>0</v>
      </c>
    </row>
    <row r="28" spans="1:11">
      <c r="A28" s="4" t="s">
        <v>14</v>
      </c>
      <c r="B28" s="4" t="s">
        <v>15</v>
      </c>
      <c r="C28" s="4" t="s">
        <v>56</v>
      </c>
      <c r="D28" s="1" t="s">
        <v>69</v>
      </c>
      <c r="E28" s="27" t="str">
        <f t="shared" si="0"/>
        <v>Cadiz_2025_L_27</v>
      </c>
      <c r="F28" s="27" t="s">
        <v>56</v>
      </c>
      <c r="G28" s="6" t="str">
        <f>IFERROR(VLOOKUP(CONCATENATE(E28, "_01"),raw!$E$2:$J$61,6)*1000, "NA")</f>
        <v>NA</v>
      </c>
      <c r="H28" s="6" t="str">
        <f>IF($F28= "bare", 0, IFERROR(INDEX(carbon!$A$14:$J$48,MATCH("*"&amp;data!$E28&amp;"*",carbon!$A$14:$A$48,0),2), "NA") )</f>
        <v>NA</v>
      </c>
      <c r="I28" s="6" t="str">
        <f>IF($F28= "bare", 0, IFERROR(INDEX(carbon!$A$14:$J$48,MATCH("*"&amp;data!$E28&amp;"*",carbon!$A$14:$A$48,0),4), "NA") )</f>
        <v>NA</v>
      </c>
      <c r="J28" s="6" t="str">
        <f>IF($F28= "bare", 0, IFERROR(INDEX(carbon!$A$14:$J$48,MATCH("*"&amp;data!$E28&amp;"*",carbon!$A$14:$A$48,0),6), "NA") )</f>
        <v>NA</v>
      </c>
      <c r="K28" s="6" t="str">
        <f>IF($F28= "bare", 0, IFERROR(INDEX(carbon!$A$14:$J$48,MATCH("*"&amp;data!$E28&amp;"*",carbon!$A$14:$A$48,0),8), "NA") )</f>
        <v>NA</v>
      </c>
    </row>
    <row r="29" spans="1:11">
      <c r="A29" s="4" t="s">
        <v>14</v>
      </c>
      <c r="B29" s="4" t="s">
        <v>15</v>
      </c>
      <c r="C29" s="4" t="s">
        <v>56</v>
      </c>
      <c r="D29" s="1" t="s">
        <v>71</v>
      </c>
      <c r="E29" s="27" t="str">
        <f t="shared" si="0"/>
        <v>Cadiz_2025_L_28</v>
      </c>
      <c r="F29" s="27" t="s">
        <v>56</v>
      </c>
      <c r="G29" s="6" t="str">
        <f>IFERROR(VLOOKUP(CONCATENATE(E29, "_01"),raw!$E$2:$J$61,6)*1000, "NA")</f>
        <v>NA</v>
      </c>
      <c r="H29" s="6" t="str">
        <f>IF($F29= "bare", 0, IFERROR(INDEX(carbon!$A$14:$J$48,MATCH("*"&amp;data!$E29&amp;"*",carbon!$A$14:$A$48,0),2), "NA") )</f>
        <v>NA</v>
      </c>
      <c r="I29" s="6" t="str">
        <f>IF($F29= "bare", 0, IFERROR(INDEX(carbon!$A$14:$J$48,MATCH("*"&amp;data!$E29&amp;"*",carbon!$A$14:$A$48,0),4), "NA") )</f>
        <v>NA</v>
      </c>
      <c r="J29" s="6" t="str">
        <f>IF($F29= "bare", 0, IFERROR(INDEX(carbon!$A$14:$J$48,MATCH("*"&amp;data!$E29&amp;"*",carbon!$A$14:$A$48,0),6), "NA") )</f>
        <v>NA</v>
      </c>
      <c r="K29" s="6" t="str">
        <f>IF($F29= "bare", 0, IFERROR(INDEX(carbon!$A$14:$J$48,MATCH("*"&amp;data!$E29&amp;"*",carbon!$A$14:$A$48,0),8), "NA") )</f>
        <v>NA</v>
      </c>
    </row>
    <row r="30" spans="1:11">
      <c r="A30" s="4" t="s">
        <v>14</v>
      </c>
      <c r="B30" s="4" t="s">
        <v>15</v>
      </c>
      <c r="C30" s="4" t="s">
        <v>56</v>
      </c>
      <c r="D30" s="1" t="s">
        <v>73</v>
      </c>
      <c r="E30" s="27" t="str">
        <f t="shared" si="0"/>
        <v>Cadiz_2025_L_29</v>
      </c>
      <c r="F30" s="27" t="s">
        <v>56</v>
      </c>
      <c r="G30" s="6" t="str">
        <f>IFERROR(VLOOKUP(CONCATENATE(E30, "_01"),raw!$E$2:$J$61,6)*1000, "NA")</f>
        <v>NA</v>
      </c>
      <c r="H30" s="6" t="str">
        <f>IF($F30= "bare", 0, IFERROR(INDEX(carbon!$A$14:$J$48,MATCH("*"&amp;data!$E30&amp;"*",carbon!$A$14:$A$48,0),2), "NA") )</f>
        <v>NA</v>
      </c>
      <c r="I30" s="6" t="str">
        <f>IF($F30= "bare", 0, IFERROR(INDEX(carbon!$A$14:$J$48,MATCH("*"&amp;data!$E30&amp;"*",carbon!$A$14:$A$48,0),4), "NA") )</f>
        <v>NA</v>
      </c>
      <c r="J30" s="6" t="str">
        <f>IF($F30= "bare", 0, IFERROR(INDEX(carbon!$A$14:$J$48,MATCH("*"&amp;data!$E30&amp;"*",carbon!$A$14:$A$48,0),6), "NA") )</f>
        <v>NA</v>
      </c>
      <c r="K30" s="6" t="str">
        <f>IF($F30= "bare", 0, IFERROR(INDEX(carbon!$A$14:$J$48,MATCH("*"&amp;data!$E30&amp;"*",carbon!$A$14:$A$48,0),8), "NA") )</f>
        <v>NA</v>
      </c>
    </row>
    <row r="31" spans="1:11">
      <c r="A31" s="4" t="s">
        <v>14</v>
      </c>
      <c r="B31" s="4" t="s">
        <v>15</v>
      </c>
      <c r="C31" s="4" t="s">
        <v>56</v>
      </c>
      <c r="D31" s="1" t="s">
        <v>75</v>
      </c>
      <c r="E31" s="27" t="str">
        <f t="shared" si="0"/>
        <v>Cadiz_2025_L_30</v>
      </c>
      <c r="F31" s="27" t="s">
        <v>56</v>
      </c>
      <c r="G31" s="6" t="str">
        <f>IFERROR(VLOOKUP(CONCATENATE(E31, "_01"),raw!$E$2:$J$61,6)*1000, "NA")</f>
        <v>NA</v>
      </c>
      <c r="H31" s="6" t="str">
        <f>IF($F31= "bare", 0, IFERROR(INDEX(carbon!$A$14:$J$48,MATCH("*"&amp;data!$E31&amp;"*",carbon!$A$14:$A$48,0),2), "NA") )</f>
        <v>NA</v>
      </c>
      <c r="I31" s="6" t="str">
        <f>IF($F31= "bare", 0, IFERROR(INDEX(carbon!$A$14:$J$48,MATCH("*"&amp;data!$E31&amp;"*",carbon!$A$14:$A$48,0),4), "NA") )</f>
        <v>NA</v>
      </c>
      <c r="J31" s="6" t="str">
        <f>IF($F31= "bare", 0, IFERROR(INDEX(carbon!$A$14:$J$48,MATCH("*"&amp;data!$E31&amp;"*",carbon!$A$14:$A$48,0),6), "NA") )</f>
        <v>NA</v>
      </c>
      <c r="K31" s="6" t="str">
        <f>IF($F31= "bare", 0, IFERROR(INDEX(carbon!$A$14:$J$48,MATCH("*"&amp;data!$E31&amp;"*",carbon!$A$14:$A$48,0),8), "NA") )</f>
        <v>NA</v>
      </c>
    </row>
    <row r="32" spans="1:11">
      <c r="A32" s="4" t="s">
        <v>14</v>
      </c>
      <c r="B32" s="4" t="s">
        <v>77</v>
      </c>
      <c r="C32" s="4" t="s">
        <v>247</v>
      </c>
      <c r="D32" s="1" t="s">
        <v>16</v>
      </c>
      <c r="E32" s="27" t="str">
        <f t="shared" si="0"/>
        <v>Cadiz_2025_R_01</v>
      </c>
      <c r="F32" s="27" t="s">
        <v>257</v>
      </c>
      <c r="G32" s="6">
        <f>IFERROR(VLOOKUP(CONCATENATE(E32, "_01"),raw!$E$2:$J$61,6)*1000, "NA")</f>
        <v>1648.0000000000002</v>
      </c>
      <c r="H32" s="6">
        <f>IF($F32= "bare", 0, IFERROR(INDEX(carbon!$A$14:$J$48,MATCH("*"&amp;data!$E32&amp;"*",carbon!$A$14:$A$48,0),2), "NA") )</f>
        <v>70.86</v>
      </c>
      <c r="I32" s="6">
        <f>IF($F32= "bare", 0, IFERROR(INDEX(carbon!$A$14:$J$48,MATCH("*"&amp;data!$E32&amp;"*",carbon!$A$14:$A$48,0),4), "NA") )</f>
        <v>22.58</v>
      </c>
      <c r="J32" s="6">
        <f>IF($F32= "bare", 0, IFERROR(INDEX(carbon!$A$14:$J$48,MATCH("*"&amp;data!$E32&amp;"*",carbon!$A$14:$A$48,0),6), "NA") )</f>
        <v>353.87</v>
      </c>
      <c r="K32" s="6">
        <f>IF($F32= "bare", 0, IFERROR(INDEX(carbon!$A$14:$J$48,MATCH("*"&amp;data!$E32&amp;"*",carbon!$A$14:$A$48,0),8), "NA") )</f>
        <v>3.3210000000000002</v>
      </c>
    </row>
    <row r="33" spans="1:11">
      <c r="A33" s="4" t="s">
        <v>14</v>
      </c>
      <c r="B33" s="4" t="s">
        <v>77</v>
      </c>
      <c r="C33" s="4" t="s">
        <v>247</v>
      </c>
      <c r="D33" s="1" t="s">
        <v>18</v>
      </c>
      <c r="E33" s="27" t="str">
        <f t="shared" si="0"/>
        <v>Cadiz_2025_R_02</v>
      </c>
      <c r="F33" s="27" t="s">
        <v>257</v>
      </c>
      <c r="G33" s="6">
        <f>IFERROR(VLOOKUP(CONCATENATE(E33, "_01"),raw!$E$2:$J$61,6)*1000, "NA")</f>
        <v>1374</v>
      </c>
      <c r="H33" s="6">
        <f>IF($F33= "bare", 0, IFERROR(INDEX(carbon!$A$14:$J$48,MATCH("*"&amp;data!$E33&amp;"*",carbon!$A$14:$A$48,0),2), "NA") )</f>
        <v>72.069999999999993</v>
      </c>
      <c r="I33" s="6">
        <f>IF($F33= "bare", 0, IFERROR(INDEX(carbon!$A$14:$J$48,MATCH("*"&amp;data!$E33&amp;"*",carbon!$A$14:$A$48,0),4), "NA") )</f>
        <v>24.34</v>
      </c>
      <c r="J33" s="6">
        <f>IF($F33= "bare", 0, IFERROR(INDEX(carbon!$A$14:$J$48,MATCH("*"&amp;data!$E33&amp;"*",carbon!$A$14:$A$48,0),6), "NA") )</f>
        <v>395</v>
      </c>
      <c r="K33" s="6">
        <f>IF($F33= "bare", 0, IFERROR(INDEX(carbon!$A$14:$J$48,MATCH("*"&amp;data!$E33&amp;"*",carbon!$A$14:$A$48,0),8), "NA") )</f>
        <v>4.1420000000000003</v>
      </c>
    </row>
    <row r="34" spans="1:11">
      <c r="A34" s="4" t="s">
        <v>14</v>
      </c>
      <c r="B34" s="4" t="s">
        <v>77</v>
      </c>
      <c r="C34" s="4" t="s">
        <v>247</v>
      </c>
      <c r="D34" s="1" t="s">
        <v>20</v>
      </c>
      <c r="E34" s="27" t="str">
        <f t="shared" si="0"/>
        <v>Cadiz_2025_R_03</v>
      </c>
      <c r="F34" s="27" t="s">
        <v>257</v>
      </c>
      <c r="G34" s="6">
        <f>IFERROR(VLOOKUP(CONCATENATE(E34, "_01"),raw!$E$2:$J$61,6)*1000, "NA")</f>
        <v>1428</v>
      </c>
      <c r="H34" s="6">
        <f>IF($F34= "bare", 0, IFERROR(INDEX(carbon!$A$14:$J$48,MATCH("*"&amp;data!$E34&amp;"*",carbon!$A$14:$A$48,0),2), "NA") )</f>
        <v>70.98</v>
      </c>
      <c r="I34" s="6">
        <f>IF($F34= "bare", 0, IFERROR(INDEX(carbon!$A$14:$J$48,MATCH("*"&amp;data!$E34&amp;"*",carbon!$A$14:$A$48,0),4), "NA") )</f>
        <v>20.7</v>
      </c>
      <c r="J34" s="6">
        <f>IF($F34= "bare", 0, IFERROR(INDEX(carbon!$A$14:$J$48,MATCH("*"&amp;data!$E34&amp;"*",carbon!$A$14:$A$48,0),6), "NA") )</f>
        <v>366.05</v>
      </c>
      <c r="K34" s="6">
        <f>IF($F34= "bare", 0, IFERROR(INDEX(carbon!$A$14:$J$48,MATCH("*"&amp;data!$E34&amp;"*",carbon!$A$14:$A$48,0),8), "NA") )</f>
        <v>3.0979999999999999</v>
      </c>
    </row>
    <row r="35" spans="1:11">
      <c r="A35" s="4" t="s">
        <v>14</v>
      </c>
      <c r="B35" s="4" t="s">
        <v>77</v>
      </c>
      <c r="C35" s="4" t="s">
        <v>247</v>
      </c>
      <c r="D35" s="1" t="s">
        <v>22</v>
      </c>
      <c r="E35" s="27" t="str">
        <f t="shared" si="0"/>
        <v>Cadiz_2025_R_04</v>
      </c>
      <c r="F35" s="27" t="s">
        <v>257</v>
      </c>
      <c r="G35" s="6">
        <f>IFERROR(VLOOKUP(CONCATENATE(E35, "_01"),raw!$E$2:$J$61,6)*1000, "NA")</f>
        <v>2036</v>
      </c>
      <c r="H35" s="6">
        <f>IF($F35= "bare", 0, IFERROR(INDEX(carbon!$A$14:$J$48,MATCH("*"&amp;data!$E35&amp;"*",carbon!$A$14:$A$48,0),2), "NA") )</f>
        <v>78.81</v>
      </c>
      <c r="I35" s="6">
        <f>IF($F35= "bare", 0, IFERROR(INDEX(carbon!$A$14:$J$48,MATCH("*"&amp;data!$E35&amp;"*",carbon!$A$14:$A$48,0),4), "NA") )</f>
        <v>28.05</v>
      </c>
      <c r="J35" s="6">
        <f>IF($F35= "bare", 0, IFERROR(INDEX(carbon!$A$14:$J$48,MATCH("*"&amp;data!$E35&amp;"*",carbon!$A$14:$A$48,0),6), "NA") )</f>
        <v>363.62</v>
      </c>
      <c r="K35" s="6">
        <f>IF($F35= "bare", 0, IFERROR(INDEX(carbon!$A$14:$J$48,MATCH("*"&amp;data!$E35&amp;"*",carbon!$A$14:$A$48,0),8), "NA") )</f>
        <v>2.1779999999999999</v>
      </c>
    </row>
    <row r="36" spans="1:11">
      <c r="A36" s="4" t="s">
        <v>14</v>
      </c>
      <c r="B36" s="4" t="s">
        <v>77</v>
      </c>
      <c r="C36" s="4" t="s">
        <v>247</v>
      </c>
      <c r="D36" s="1" t="s">
        <v>24</v>
      </c>
      <c r="E36" s="27" t="str">
        <f t="shared" si="0"/>
        <v>Cadiz_2025_R_05</v>
      </c>
      <c r="F36" s="27" t="s">
        <v>257</v>
      </c>
      <c r="G36" s="6">
        <f>IFERROR(VLOOKUP(CONCATENATE(E36, "_01"),raw!$E$2:$J$61,6)*1000, "NA")</f>
        <v>1189</v>
      </c>
      <c r="H36" s="6">
        <f>IF($F36= "bare", 0, IFERROR(INDEX(carbon!$A$14:$J$48,MATCH("*"&amp;data!$E36&amp;"*",carbon!$A$14:$A$48,0),2), "NA") )</f>
        <v>70.709999999999994</v>
      </c>
      <c r="I36" s="6">
        <f>IF($F36= "bare", 0, IFERROR(INDEX(carbon!$A$14:$J$48,MATCH("*"&amp;data!$E36&amp;"*",carbon!$A$14:$A$48,0),4), "NA") )</f>
        <v>17.399999999999999</v>
      </c>
      <c r="J36" s="6">
        <f>IF($F36= "bare", 0, IFERROR(INDEX(carbon!$A$14:$J$48,MATCH("*"&amp;data!$E36&amp;"*",carbon!$A$14:$A$48,0),6), "NA") )</f>
        <v>341.9</v>
      </c>
      <c r="K36" s="6">
        <f>IF($F36= "bare", 0, IFERROR(INDEX(carbon!$A$14:$J$48,MATCH("*"&amp;data!$E36&amp;"*",carbon!$A$14:$A$48,0),8), "NA") )</f>
        <v>4.41</v>
      </c>
    </row>
    <row r="37" spans="1:11">
      <c r="A37" s="4" t="s">
        <v>14</v>
      </c>
      <c r="B37" s="4" t="s">
        <v>77</v>
      </c>
      <c r="C37" s="4" t="s">
        <v>247</v>
      </c>
      <c r="D37" s="1" t="s">
        <v>26</v>
      </c>
      <c r="E37" s="27" t="str">
        <f t="shared" si="0"/>
        <v>Cadiz_2025_R_06</v>
      </c>
      <c r="F37" s="27" t="s">
        <v>257</v>
      </c>
      <c r="G37" s="6">
        <f>IFERROR(VLOOKUP(CONCATENATE(E37, "_01"),raw!$E$2:$J$61,6)*1000, "NA")</f>
        <v>1815.9999999999998</v>
      </c>
      <c r="H37" s="6">
        <f>IF($F37= "bare", 0, IFERROR(INDEX(carbon!$A$14:$J$48,MATCH("*"&amp;data!$E37&amp;"*",carbon!$A$14:$A$48,0),2), "NA") )</f>
        <v>73.91</v>
      </c>
      <c r="I37" s="6">
        <f>IF($F37= "bare", 0, IFERROR(INDEX(carbon!$A$14:$J$48,MATCH("*"&amp;data!$E37&amp;"*",carbon!$A$14:$A$48,0),4), "NA") )</f>
        <v>24.79</v>
      </c>
      <c r="J37" s="6">
        <f>IF($F37= "bare", 0, IFERROR(INDEX(carbon!$A$14:$J$48,MATCH("*"&amp;data!$E37&amp;"*",carbon!$A$14:$A$48,0),6), "NA") )</f>
        <v>365.95</v>
      </c>
      <c r="K37" s="6">
        <f>IF($F37= "bare", 0, IFERROR(INDEX(carbon!$A$14:$J$48,MATCH("*"&amp;data!$E37&amp;"*",carbon!$A$14:$A$48,0),8), "NA") )</f>
        <v>3.41</v>
      </c>
    </row>
    <row r="38" spans="1:11">
      <c r="A38" s="4" t="s">
        <v>14</v>
      </c>
      <c r="B38" s="4" t="s">
        <v>77</v>
      </c>
      <c r="C38" s="4" t="s">
        <v>247</v>
      </c>
      <c r="D38" s="1" t="s">
        <v>28</v>
      </c>
      <c r="E38" s="27" t="str">
        <f t="shared" si="0"/>
        <v>Cadiz_2025_R_07</v>
      </c>
      <c r="F38" s="27" t="s">
        <v>257</v>
      </c>
      <c r="G38" s="6">
        <f>IFERROR(VLOOKUP(CONCATENATE(E38, "_01"),raw!$E$2:$J$61,6)*1000, "NA")</f>
        <v>2762</v>
      </c>
      <c r="H38" s="6">
        <f>IF($F38= "bare", 0, IFERROR(INDEX(carbon!$A$14:$J$48,MATCH("*"&amp;data!$E38&amp;"*",carbon!$A$14:$A$48,0),2), "NA") )</f>
        <v>74.569999999999993</v>
      </c>
      <c r="I38" s="6">
        <f>IF($F38= "bare", 0, IFERROR(INDEX(carbon!$A$14:$J$48,MATCH("*"&amp;data!$E38&amp;"*",carbon!$A$14:$A$48,0),4), "NA") )</f>
        <v>23.16</v>
      </c>
      <c r="J38" s="6">
        <f>IF($F38= "bare", 0, IFERROR(INDEX(carbon!$A$14:$J$48,MATCH("*"&amp;data!$E38&amp;"*",carbon!$A$14:$A$48,0),6), "NA") )</f>
        <v>302.08</v>
      </c>
      <c r="K38" s="6">
        <f>IF($F38= "bare", 0, IFERROR(INDEX(carbon!$A$14:$J$48,MATCH("*"&amp;data!$E38&amp;"*",carbon!$A$14:$A$48,0),8), "NA") )</f>
        <v>2.8479999999999999</v>
      </c>
    </row>
    <row r="39" spans="1:11">
      <c r="A39" s="4" t="s">
        <v>14</v>
      </c>
      <c r="B39" s="4" t="s">
        <v>77</v>
      </c>
      <c r="C39" s="4" t="s">
        <v>247</v>
      </c>
      <c r="D39" s="1" t="s">
        <v>30</v>
      </c>
      <c r="E39" s="27" t="str">
        <f t="shared" si="0"/>
        <v>Cadiz_2025_R_08</v>
      </c>
      <c r="F39" s="27" t="s">
        <v>257</v>
      </c>
      <c r="G39" s="6">
        <f>IFERROR(VLOOKUP(CONCATENATE(E39, "_01"),raw!$E$2:$J$61,6)*1000, "NA")</f>
        <v>1477</v>
      </c>
      <c r="H39" s="6">
        <f>IF($F39= "bare", 0, IFERROR(INDEX(carbon!$A$14:$J$48,MATCH("*"&amp;data!$E39&amp;"*",carbon!$A$14:$A$48,0),2), "NA") )</f>
        <v>78.72</v>
      </c>
      <c r="I39" s="6">
        <f>IF($F39= "bare", 0, IFERROR(INDEX(carbon!$A$14:$J$48,MATCH("*"&amp;data!$E39&amp;"*",carbon!$A$14:$A$48,0),4), "NA") )</f>
        <v>25.66</v>
      </c>
      <c r="J39" s="6">
        <f>IF($F39= "bare", 0, IFERROR(INDEX(carbon!$A$14:$J$48,MATCH("*"&amp;data!$E39&amp;"*",carbon!$A$14:$A$48,0),6), "NA") )</f>
        <v>463.97</v>
      </c>
      <c r="K39" s="6">
        <f>IF($F39= "bare", 0, IFERROR(INDEX(carbon!$A$14:$J$48,MATCH("*"&amp;data!$E39&amp;"*",carbon!$A$14:$A$48,0),8), "NA") )</f>
        <v>4.4039999999999999</v>
      </c>
    </row>
    <row r="40" spans="1:11">
      <c r="A40" s="4" t="s">
        <v>14</v>
      </c>
      <c r="B40" s="4" t="s">
        <v>77</v>
      </c>
      <c r="C40" s="4" t="s">
        <v>247</v>
      </c>
      <c r="D40" s="1" t="s">
        <v>32</v>
      </c>
      <c r="E40" s="27" t="str">
        <f t="shared" si="0"/>
        <v>Cadiz_2025_R_09</v>
      </c>
      <c r="F40" s="27" t="s">
        <v>257</v>
      </c>
      <c r="G40" s="6">
        <f>IFERROR(VLOOKUP(CONCATENATE(E40, "_01"),raw!$E$2:$J$61,6)*1000, "NA")</f>
        <v>3114</v>
      </c>
      <c r="H40" s="6">
        <f>IF($F40= "bare", 0, IFERROR(INDEX(carbon!$A$14:$J$48,MATCH("*"&amp;data!$E40&amp;"*",carbon!$A$14:$A$48,0),2), "NA") )</f>
        <v>72.12</v>
      </c>
      <c r="I40" s="6">
        <f>IF($F40= "bare", 0, IFERROR(INDEX(carbon!$A$14:$J$48,MATCH("*"&amp;data!$E40&amp;"*",carbon!$A$14:$A$48,0),4), "NA") )</f>
        <v>24.95</v>
      </c>
      <c r="J40" s="6">
        <f>IF($F40= "bare", 0, IFERROR(INDEX(carbon!$A$14:$J$48,MATCH("*"&amp;data!$E40&amp;"*",carbon!$A$14:$A$48,0),6), "NA") )</f>
        <v>725.53</v>
      </c>
      <c r="K40" s="6">
        <f>IF($F40= "bare", 0, IFERROR(INDEX(carbon!$A$14:$J$48,MATCH("*"&amp;data!$E40&amp;"*",carbon!$A$14:$A$48,0),8), "NA") )</f>
        <v>5.9690000000000003</v>
      </c>
    </row>
    <row r="41" spans="1:11">
      <c r="A41" s="4" t="s">
        <v>14</v>
      </c>
      <c r="B41" s="4" t="s">
        <v>77</v>
      </c>
      <c r="C41" s="4" t="s">
        <v>248</v>
      </c>
      <c r="D41" s="1" t="s">
        <v>34</v>
      </c>
      <c r="E41" s="27" t="str">
        <f t="shared" si="0"/>
        <v>Cadiz_2025_R_10</v>
      </c>
      <c r="F41" s="27" t="s">
        <v>257</v>
      </c>
      <c r="G41" s="6">
        <f>IFERROR(VLOOKUP(CONCATENATE(E41, "_01"),raw!$E$2:$J$61,6)*1000, "NA")</f>
        <v>1288</v>
      </c>
      <c r="H41" s="6">
        <f>IF($F41= "bare", 0, IFERROR(INDEX(carbon!$A$14:$J$48,MATCH("*"&amp;data!$E41&amp;"*",carbon!$A$14:$A$48,0),2), "NA") )</f>
        <v>76.180000000000007</v>
      </c>
      <c r="I41" s="6">
        <f>IF($F41= "bare", 0, IFERROR(INDEX(carbon!$A$14:$J$48,MATCH("*"&amp;data!$E41&amp;"*",carbon!$A$14:$A$48,0),4), "NA") )</f>
        <v>15.92</v>
      </c>
      <c r="J41" s="6">
        <f>IF($F41= "bare", 0, IFERROR(INDEX(carbon!$A$14:$J$48,MATCH("*"&amp;data!$E41&amp;"*",carbon!$A$14:$A$48,0),6), "NA") )</f>
        <v>340.23</v>
      </c>
      <c r="K41" s="6">
        <f>IF($F41= "bare", 0, IFERROR(INDEX(carbon!$A$14:$J$48,MATCH("*"&amp;data!$E41&amp;"*",carbon!$A$14:$A$48,0),8), "NA") )</f>
        <v>1.5369999999999999</v>
      </c>
    </row>
    <row r="42" spans="1:11">
      <c r="A42" s="4" t="s">
        <v>14</v>
      </c>
      <c r="B42" s="4" t="s">
        <v>77</v>
      </c>
      <c r="C42" s="4" t="s">
        <v>248</v>
      </c>
      <c r="D42" s="1" t="s">
        <v>36</v>
      </c>
      <c r="E42" s="27" t="str">
        <f t="shared" si="0"/>
        <v>Cadiz_2025_R_11</v>
      </c>
      <c r="F42" s="27" t="s">
        <v>257</v>
      </c>
      <c r="G42" s="6">
        <f>IFERROR(VLOOKUP(CONCATENATE(E42, "_01"),raw!$E$2:$J$61,6)*1000, "NA")</f>
        <v>771.99999999999989</v>
      </c>
      <c r="H42" s="6">
        <f>IF($F42= "bare", 0, IFERROR(INDEX(carbon!$A$14:$J$48,MATCH("*"&amp;data!$E42&amp;"*",carbon!$A$14:$A$48,0),2), "NA") )</f>
        <v>79.510000000000005</v>
      </c>
      <c r="I42" s="6">
        <f>IF($F42= "bare", 0, IFERROR(INDEX(carbon!$A$14:$J$48,MATCH("*"&amp;data!$E42&amp;"*",carbon!$A$14:$A$48,0),4), "NA") )</f>
        <v>21.39</v>
      </c>
      <c r="J42" s="6">
        <f>IF($F42= "bare", 0, IFERROR(INDEX(carbon!$A$14:$J$48,MATCH("*"&amp;data!$E42&amp;"*",carbon!$A$14:$A$48,0),6), "NA") )</f>
        <v>485.75</v>
      </c>
      <c r="K42" s="6">
        <f>IF($F42= "bare", 0, IFERROR(INDEX(carbon!$A$14:$J$48,MATCH("*"&amp;data!$E42&amp;"*",carbon!$A$14:$A$48,0),8), "NA") )</f>
        <v>1.2010000000000001</v>
      </c>
    </row>
    <row r="43" spans="1:11">
      <c r="A43" s="4" t="s">
        <v>14</v>
      </c>
      <c r="B43" s="4" t="s">
        <v>77</v>
      </c>
      <c r="C43" s="4" t="s">
        <v>248</v>
      </c>
      <c r="D43" s="1" t="s">
        <v>38</v>
      </c>
      <c r="E43" s="27" t="str">
        <f t="shared" si="0"/>
        <v>Cadiz_2025_R_12</v>
      </c>
      <c r="F43" s="27" t="s">
        <v>257</v>
      </c>
      <c r="G43" s="6">
        <f>IFERROR(VLOOKUP(CONCATENATE(E43, "_01"),raw!$E$2:$J$61,6)*1000, "NA")</f>
        <v>1548</v>
      </c>
      <c r="H43" s="6">
        <f>IF($F43= "bare", 0, IFERROR(INDEX(carbon!$A$14:$J$48,MATCH("*"&amp;data!$E43&amp;"*",carbon!$A$14:$A$48,0),2), "NA") )</f>
        <v>78.709999999999994</v>
      </c>
      <c r="I43" s="6">
        <f>IF($F43= "bare", 0, IFERROR(INDEX(carbon!$A$14:$J$48,MATCH("*"&amp;data!$E43&amp;"*",carbon!$A$14:$A$48,0),4), "NA") )</f>
        <v>13.23</v>
      </c>
      <c r="J43" s="6">
        <f>IF($F43= "bare", 0, IFERROR(INDEX(carbon!$A$14:$J$48,MATCH("*"&amp;data!$E43&amp;"*",carbon!$A$14:$A$48,0),6), "NA") )</f>
        <v>344.57</v>
      </c>
      <c r="K43" s="6">
        <f>IF($F43= "bare", 0, IFERROR(INDEX(carbon!$A$14:$J$48,MATCH("*"&amp;data!$E43&amp;"*",carbon!$A$14:$A$48,0),8), "NA") )</f>
        <v>2.6819999999999999</v>
      </c>
    </row>
    <row r="44" spans="1:11">
      <c r="A44" s="4" t="s">
        <v>14</v>
      </c>
      <c r="B44" s="4" t="s">
        <v>77</v>
      </c>
      <c r="C44" s="4" t="s">
        <v>248</v>
      </c>
      <c r="D44" s="1" t="s">
        <v>40</v>
      </c>
      <c r="E44" s="27" t="str">
        <f t="shared" si="0"/>
        <v>Cadiz_2025_R_13</v>
      </c>
      <c r="F44" s="27" t="s">
        <v>257</v>
      </c>
      <c r="G44" s="6">
        <f>IFERROR(VLOOKUP(CONCATENATE(E44, "_01"),raw!$E$2:$J$61,6)*1000, "NA")</f>
        <v>1611</v>
      </c>
      <c r="H44" s="6">
        <f>IF($F44= "bare", 0, IFERROR(INDEX(carbon!$A$14:$J$48,MATCH("*"&amp;data!$E44&amp;"*",carbon!$A$14:$A$48,0),2), "NA") )</f>
        <v>71.760000000000005</v>
      </c>
      <c r="I44" s="6">
        <f>IF($F44= "bare", 0, IFERROR(INDEX(carbon!$A$14:$J$48,MATCH("*"&amp;data!$E44&amp;"*",carbon!$A$14:$A$48,0),4), "NA") )</f>
        <v>18.350000000000001</v>
      </c>
      <c r="J44" s="6">
        <f>IF($F44= "bare", 0, IFERROR(INDEX(carbon!$A$14:$J$48,MATCH("*"&amp;data!$E44&amp;"*",carbon!$A$14:$A$48,0),6), "NA") )</f>
        <v>263.48</v>
      </c>
      <c r="K44" s="6">
        <f>IF($F44= "bare", 0, IFERROR(INDEX(carbon!$A$14:$J$48,MATCH("*"&amp;data!$E44&amp;"*",carbon!$A$14:$A$48,0),8), "NA") )</f>
        <v>2.6760000000000002</v>
      </c>
    </row>
    <row r="45" spans="1:11">
      <c r="A45" s="4" t="s">
        <v>14</v>
      </c>
      <c r="B45" s="4" t="s">
        <v>77</v>
      </c>
      <c r="C45" s="4" t="s">
        <v>248</v>
      </c>
      <c r="D45" s="1" t="s">
        <v>42</v>
      </c>
      <c r="E45" s="27" t="str">
        <f t="shared" si="0"/>
        <v>Cadiz_2025_R_14</v>
      </c>
      <c r="F45" s="27" t="s">
        <v>257</v>
      </c>
      <c r="G45" s="6">
        <f>IFERROR(VLOOKUP(CONCATENATE(E45, "_01"),raw!$E$2:$J$61,6)*1000, "NA")</f>
        <v>402.00000000000011</v>
      </c>
      <c r="H45" s="6">
        <f>IF($F45= "bare", 0, IFERROR(INDEX(carbon!$A$14:$J$48,MATCH("*"&amp;data!$E45&amp;"*",carbon!$A$14:$A$48,0),2), "NA") )</f>
        <v>72.569999999999993</v>
      </c>
      <c r="I45" s="6">
        <f>IF($F45= "bare", 0, IFERROR(INDEX(carbon!$A$14:$J$48,MATCH("*"&amp;data!$E45&amp;"*",carbon!$A$14:$A$48,0),4), "NA") )</f>
        <v>17.3</v>
      </c>
      <c r="J45" s="6">
        <f>IF($F45= "bare", 0, IFERROR(INDEX(carbon!$A$14:$J$48,MATCH("*"&amp;data!$E45&amp;"*",carbon!$A$14:$A$48,0),6), "NA") )</f>
        <v>265.94</v>
      </c>
      <c r="K45" s="6">
        <f>IF($F45= "bare", 0, IFERROR(INDEX(carbon!$A$14:$J$48,MATCH("*"&amp;data!$E45&amp;"*",carbon!$A$14:$A$48,0),8), "NA") )</f>
        <v>2.6</v>
      </c>
    </row>
    <row r="46" spans="1:11">
      <c r="A46" s="4" t="s">
        <v>14</v>
      </c>
      <c r="B46" s="4" t="s">
        <v>77</v>
      </c>
      <c r="C46" s="4" t="s">
        <v>248</v>
      </c>
      <c r="D46" s="1" t="s">
        <v>44</v>
      </c>
      <c r="E46" s="27" t="str">
        <f t="shared" si="0"/>
        <v>Cadiz_2025_R_15</v>
      </c>
      <c r="F46" s="27" t="s">
        <v>257</v>
      </c>
      <c r="G46" s="6">
        <f>IFERROR(VLOOKUP(CONCATENATE(E46, "_01"),raw!$E$2:$J$61,6)*1000, "NA")</f>
        <v>957.00000000000011</v>
      </c>
      <c r="H46" s="6">
        <f>IF($F46= "bare", 0, IFERROR(INDEX(carbon!$A$14:$J$48,MATCH("*"&amp;data!$E46&amp;"*",carbon!$A$14:$A$48,0),2), "NA") )</f>
        <v>77.930000000000007</v>
      </c>
      <c r="I46" s="6">
        <f>IF($F46= "bare", 0, IFERROR(INDEX(carbon!$A$14:$J$48,MATCH("*"&amp;data!$E46&amp;"*",carbon!$A$14:$A$48,0),4), "NA") )</f>
        <v>9.7370000000000001</v>
      </c>
      <c r="J46" s="6">
        <f>IF($F46= "bare", 0, IFERROR(INDEX(carbon!$A$14:$J$48,MATCH("*"&amp;data!$E46&amp;"*",carbon!$A$14:$A$48,0),6), "NA") )</f>
        <v>375.58</v>
      </c>
      <c r="K46" s="6">
        <f>IF($F46= "bare", 0, IFERROR(INDEX(carbon!$A$14:$J$48,MATCH("*"&amp;data!$E46&amp;"*",carbon!$A$14:$A$48,0),8), "NA") )</f>
        <v>3.6509999999999998</v>
      </c>
    </row>
    <row r="47" spans="1:11">
      <c r="A47" s="4" t="s">
        <v>14</v>
      </c>
      <c r="B47" s="4" t="s">
        <v>77</v>
      </c>
      <c r="C47" s="4" t="s">
        <v>248</v>
      </c>
      <c r="D47" s="1" t="s">
        <v>46</v>
      </c>
      <c r="E47" s="27" t="str">
        <f t="shared" si="0"/>
        <v>Cadiz_2025_R_16</v>
      </c>
      <c r="F47" s="27" t="s">
        <v>257</v>
      </c>
      <c r="G47" s="6">
        <f>IFERROR(VLOOKUP(CONCATENATE(E47, "_01"),raw!$E$2:$J$61,6)*1000, "NA")</f>
        <v>1746</v>
      </c>
      <c r="H47" s="6">
        <f>IF($F47= "bare", 0, IFERROR(INDEX(carbon!$A$14:$J$48,MATCH("*"&amp;data!$E47&amp;"*",carbon!$A$14:$A$48,0),2), "NA") )</f>
        <v>70.400000000000006</v>
      </c>
      <c r="I47" s="6">
        <f>IF($F47= "bare", 0, IFERROR(INDEX(carbon!$A$14:$J$48,MATCH("*"&amp;data!$E47&amp;"*",carbon!$A$14:$A$48,0),4), "NA") )</f>
        <v>15.9</v>
      </c>
      <c r="J47" s="6">
        <f>IF($F47= "bare", 0, IFERROR(INDEX(carbon!$A$14:$J$48,MATCH("*"&amp;data!$E47&amp;"*",carbon!$A$14:$A$48,0),6), "NA") )</f>
        <v>456.31</v>
      </c>
      <c r="K47" s="6">
        <f>IF($F47= "bare", 0, IFERROR(INDEX(carbon!$A$14:$J$48,MATCH("*"&amp;data!$E47&amp;"*",carbon!$A$14:$A$48,0),8), "NA") )</f>
        <v>4.1790000000000003</v>
      </c>
    </row>
    <row r="48" spans="1:11">
      <c r="A48" s="4" t="s">
        <v>14</v>
      </c>
      <c r="B48" s="4" t="s">
        <v>77</v>
      </c>
      <c r="C48" s="4" t="s">
        <v>248</v>
      </c>
      <c r="D48" s="1" t="s">
        <v>48</v>
      </c>
      <c r="E48" s="27" t="str">
        <f t="shared" si="0"/>
        <v>Cadiz_2025_R_17</v>
      </c>
      <c r="F48" s="27" t="s">
        <v>257</v>
      </c>
      <c r="G48" s="6">
        <f>IFERROR(VLOOKUP(CONCATENATE(E48, "_01"),raw!$E$2:$J$61,6)*1000, "NA")</f>
        <v>1768</v>
      </c>
      <c r="H48" s="6">
        <f>IF($F48= "bare", 0, IFERROR(INDEX(carbon!$A$14:$J$48,MATCH("*"&amp;data!$E48&amp;"*",carbon!$A$14:$A$48,0),2), "NA") )</f>
        <v>75.5</v>
      </c>
      <c r="I48" s="6">
        <f>IF($F48= "bare", 0, IFERROR(INDEX(carbon!$A$14:$J$48,MATCH("*"&amp;data!$E48&amp;"*",carbon!$A$14:$A$48,0),4), "NA") )</f>
        <v>15.92</v>
      </c>
      <c r="J48" s="6">
        <f>IF($F48= "bare", 0, IFERROR(INDEX(carbon!$A$14:$J$48,MATCH("*"&amp;data!$E48&amp;"*",carbon!$A$14:$A$48,0),6), "NA") )</f>
        <v>475.63</v>
      </c>
      <c r="K48" s="6">
        <f>IF($F48= "bare", 0, IFERROR(INDEX(carbon!$A$14:$J$48,MATCH("*"&amp;data!$E48&amp;"*",carbon!$A$14:$A$48,0),8), "NA") )</f>
        <v>2.6019999999999999</v>
      </c>
    </row>
    <row r="49" spans="1:11">
      <c r="A49" s="4" t="s">
        <v>14</v>
      </c>
      <c r="B49" s="4" t="s">
        <v>77</v>
      </c>
      <c r="C49" s="4" t="s">
        <v>249</v>
      </c>
      <c r="D49" s="1" t="s">
        <v>50</v>
      </c>
      <c r="E49" s="27" t="str">
        <f t="shared" si="0"/>
        <v>Cadiz_2025_R_18</v>
      </c>
      <c r="F49" s="27" t="s">
        <v>258</v>
      </c>
      <c r="G49" s="6">
        <f>IFERROR(VLOOKUP(CONCATENATE(E49, "_01"),raw!$E$2:$J$61,6)*1000, "NA")</f>
        <v>0</v>
      </c>
      <c r="H49" s="6">
        <f>IF($F49= "bare", 0, IFERROR(INDEX(carbon!$A$14:$J$48,MATCH("*"&amp;data!$E49&amp;"*",carbon!$A$14:$A$48,0),2), "NA") )</f>
        <v>0</v>
      </c>
      <c r="I49" s="6">
        <f>IF($F49= "bare", 0, IFERROR(INDEX(carbon!$A$14:$J$48,MATCH("*"&amp;data!$E49&amp;"*",carbon!$A$14:$A$48,0),4), "NA") )</f>
        <v>0</v>
      </c>
      <c r="J49" s="6">
        <f>IF($F49= "bare", 0, IFERROR(INDEX(carbon!$A$14:$J$48,MATCH("*"&amp;data!$E49&amp;"*",carbon!$A$14:$A$48,0),6), "NA") )</f>
        <v>0</v>
      </c>
      <c r="K49" s="6">
        <f>IF($F49= "bare", 0, IFERROR(INDEX(carbon!$A$14:$J$48,MATCH("*"&amp;data!$E49&amp;"*",carbon!$A$14:$A$48,0),8), "NA") )</f>
        <v>0</v>
      </c>
    </row>
    <row r="50" spans="1:11">
      <c r="A50" s="4" t="s">
        <v>14</v>
      </c>
      <c r="B50" s="4" t="s">
        <v>77</v>
      </c>
      <c r="C50" s="4" t="s">
        <v>249</v>
      </c>
      <c r="D50" s="1" t="s">
        <v>52</v>
      </c>
      <c r="E50" s="27" t="str">
        <f t="shared" si="0"/>
        <v>Cadiz_2025_R_19</v>
      </c>
      <c r="F50" s="27" t="s">
        <v>258</v>
      </c>
      <c r="G50" s="6">
        <f>IFERROR(VLOOKUP(CONCATENATE(E50, "_01"),raw!$E$2:$J$61,6)*1000, "NA")</f>
        <v>0</v>
      </c>
      <c r="H50" s="6">
        <f>IF($F50= "bare", 0, IFERROR(INDEX(carbon!$A$14:$J$48,MATCH("*"&amp;data!$E50&amp;"*",carbon!$A$14:$A$48,0),2), "NA") )</f>
        <v>0</v>
      </c>
      <c r="I50" s="6">
        <f>IF($F50= "bare", 0, IFERROR(INDEX(carbon!$A$14:$J$48,MATCH("*"&amp;data!$E50&amp;"*",carbon!$A$14:$A$48,0),4), "NA") )</f>
        <v>0</v>
      </c>
      <c r="J50" s="6">
        <f>IF($F50= "bare", 0, IFERROR(INDEX(carbon!$A$14:$J$48,MATCH("*"&amp;data!$E50&amp;"*",carbon!$A$14:$A$48,0),6), "NA") )</f>
        <v>0</v>
      </c>
      <c r="K50" s="6">
        <f>IF($F50= "bare", 0, IFERROR(INDEX(carbon!$A$14:$J$48,MATCH("*"&amp;data!$E50&amp;"*",carbon!$A$14:$A$48,0),8), "NA") )</f>
        <v>0</v>
      </c>
    </row>
    <row r="51" spans="1:11">
      <c r="A51" s="4" t="s">
        <v>14</v>
      </c>
      <c r="B51" s="4" t="s">
        <v>77</v>
      </c>
      <c r="C51" s="4" t="s">
        <v>249</v>
      </c>
      <c r="D51" s="1" t="s">
        <v>54</v>
      </c>
      <c r="E51" s="27" t="str">
        <f t="shared" si="0"/>
        <v>Cadiz_2025_R_20</v>
      </c>
      <c r="F51" s="27" t="s">
        <v>258</v>
      </c>
      <c r="G51" s="6">
        <f>IFERROR(VLOOKUP(CONCATENATE(E51, "_01"),raw!$E$2:$J$61,6)*1000, "NA")</f>
        <v>0</v>
      </c>
      <c r="H51" s="6">
        <f>IF($F51= "bare", 0, IFERROR(INDEX(carbon!$A$14:$J$48,MATCH("*"&amp;data!$E51&amp;"*",carbon!$A$14:$A$48,0),2), "NA") )</f>
        <v>0</v>
      </c>
      <c r="I51" s="6">
        <f>IF($F51= "bare", 0, IFERROR(INDEX(carbon!$A$14:$J$48,MATCH("*"&amp;data!$E51&amp;"*",carbon!$A$14:$A$48,0),4), "NA") )</f>
        <v>0</v>
      </c>
      <c r="J51" s="6">
        <f>IF($F51= "bare", 0, IFERROR(INDEX(carbon!$A$14:$J$48,MATCH("*"&amp;data!$E51&amp;"*",carbon!$A$14:$A$48,0),6), "NA") )</f>
        <v>0</v>
      </c>
      <c r="K51" s="6">
        <f>IF($F51= "bare", 0, IFERROR(INDEX(carbon!$A$14:$J$48,MATCH("*"&amp;data!$E51&amp;"*",carbon!$A$14:$A$48,0),8), "NA") )</f>
        <v>0</v>
      </c>
    </row>
    <row r="52" spans="1:11">
      <c r="A52" s="4" t="s">
        <v>14</v>
      </c>
      <c r="B52" s="4" t="s">
        <v>77</v>
      </c>
      <c r="C52" s="4" t="s">
        <v>249</v>
      </c>
      <c r="D52" s="1" t="s">
        <v>57</v>
      </c>
      <c r="E52" s="27" t="str">
        <f t="shared" si="0"/>
        <v>Cadiz_2025_R_21</v>
      </c>
      <c r="F52" s="27" t="s">
        <v>258</v>
      </c>
      <c r="G52" s="6">
        <f>IFERROR(VLOOKUP(CONCATENATE(E52, "_01"),raw!$E$2:$J$61,6)*1000, "NA")</f>
        <v>0</v>
      </c>
      <c r="H52" s="6">
        <f>IF($F52= "bare", 0, IFERROR(INDEX(carbon!$A$14:$J$48,MATCH("*"&amp;data!$E52&amp;"*",carbon!$A$14:$A$48,0),2), "NA") )</f>
        <v>0</v>
      </c>
      <c r="I52" s="6">
        <f>IF($F52= "bare", 0, IFERROR(INDEX(carbon!$A$14:$J$48,MATCH("*"&amp;data!$E52&amp;"*",carbon!$A$14:$A$48,0),4), "NA") )</f>
        <v>0</v>
      </c>
      <c r="J52" s="6">
        <f>IF($F52= "bare", 0, IFERROR(INDEX(carbon!$A$14:$J$48,MATCH("*"&amp;data!$E52&amp;"*",carbon!$A$14:$A$48,0),6), "NA") )</f>
        <v>0</v>
      </c>
      <c r="K52" s="6">
        <f>IF($F52= "bare", 0, IFERROR(INDEX(carbon!$A$14:$J$48,MATCH("*"&amp;data!$E52&amp;"*",carbon!$A$14:$A$48,0),8), "NA") )</f>
        <v>0</v>
      </c>
    </row>
    <row r="53" spans="1:11">
      <c r="A53" s="4" t="s">
        <v>14</v>
      </c>
      <c r="B53" s="4" t="s">
        <v>77</v>
      </c>
      <c r="C53" s="4" t="s">
        <v>249</v>
      </c>
      <c r="D53" s="1" t="s">
        <v>59</v>
      </c>
      <c r="E53" s="27" t="str">
        <f t="shared" si="0"/>
        <v>Cadiz_2025_R_22</v>
      </c>
      <c r="F53" s="27" t="s">
        <v>258</v>
      </c>
      <c r="G53" s="6">
        <f>IFERROR(VLOOKUP(CONCATENATE(E53, "_01"),raw!$E$2:$J$61,6)*1000, "NA")</f>
        <v>0</v>
      </c>
      <c r="H53" s="6">
        <f>IF($F53= "bare", 0, IFERROR(INDEX(carbon!$A$14:$J$48,MATCH("*"&amp;data!$E53&amp;"*",carbon!$A$14:$A$48,0),2), "NA") )</f>
        <v>0</v>
      </c>
      <c r="I53" s="6">
        <f>IF($F53= "bare", 0, IFERROR(INDEX(carbon!$A$14:$J$48,MATCH("*"&amp;data!$E53&amp;"*",carbon!$A$14:$A$48,0),4), "NA") )</f>
        <v>0</v>
      </c>
      <c r="J53" s="6">
        <f>IF($F53= "bare", 0, IFERROR(INDEX(carbon!$A$14:$J$48,MATCH("*"&amp;data!$E53&amp;"*",carbon!$A$14:$A$48,0),6), "NA") )</f>
        <v>0</v>
      </c>
      <c r="K53" s="6">
        <f>IF($F53= "bare", 0, IFERROR(INDEX(carbon!$A$14:$J$48,MATCH("*"&amp;data!$E53&amp;"*",carbon!$A$14:$A$48,0),8), "NA") )</f>
        <v>0</v>
      </c>
    </row>
    <row r="54" spans="1:11">
      <c r="A54" s="4" t="s">
        <v>14</v>
      </c>
      <c r="B54" s="4" t="s">
        <v>77</v>
      </c>
      <c r="C54" s="4" t="s">
        <v>249</v>
      </c>
      <c r="D54" s="1" t="s">
        <v>61</v>
      </c>
      <c r="E54" s="27" t="str">
        <f t="shared" si="0"/>
        <v>Cadiz_2025_R_23</v>
      </c>
      <c r="F54" s="27" t="s">
        <v>258</v>
      </c>
      <c r="G54" s="6">
        <f>IFERROR(VLOOKUP(CONCATENATE(E54, "_01"),raw!$E$2:$J$61,6)*1000, "NA")</f>
        <v>0</v>
      </c>
      <c r="H54" s="6">
        <f>IF($F54= "bare", 0, IFERROR(INDEX(carbon!$A$14:$J$48,MATCH("*"&amp;data!$E54&amp;"*",carbon!$A$14:$A$48,0),2), "NA") )</f>
        <v>0</v>
      </c>
      <c r="I54" s="6">
        <f>IF($F54= "bare", 0, IFERROR(INDEX(carbon!$A$14:$J$48,MATCH("*"&amp;data!$E54&amp;"*",carbon!$A$14:$A$48,0),4), "NA") )</f>
        <v>0</v>
      </c>
      <c r="J54" s="6">
        <f>IF($F54= "bare", 0, IFERROR(INDEX(carbon!$A$14:$J$48,MATCH("*"&amp;data!$E54&amp;"*",carbon!$A$14:$A$48,0),6), "NA") )</f>
        <v>0</v>
      </c>
      <c r="K54" s="6">
        <f>IF($F54= "bare", 0, IFERROR(INDEX(carbon!$A$14:$J$48,MATCH("*"&amp;data!$E54&amp;"*",carbon!$A$14:$A$48,0),8), "NA") )</f>
        <v>0</v>
      </c>
    </row>
    <row r="55" spans="1:11">
      <c r="A55" s="4" t="s">
        <v>14</v>
      </c>
      <c r="B55" s="4" t="s">
        <v>77</v>
      </c>
      <c r="C55" s="4" t="s">
        <v>249</v>
      </c>
      <c r="D55" s="1" t="s">
        <v>63</v>
      </c>
      <c r="E55" s="27" t="str">
        <f t="shared" si="0"/>
        <v>Cadiz_2025_R_24</v>
      </c>
      <c r="F55" s="27" t="s">
        <v>258</v>
      </c>
      <c r="G55" s="6">
        <f>IFERROR(VLOOKUP(CONCATENATE(E55, "_01"),raw!$E$2:$J$61,6)*1000, "NA")</f>
        <v>0</v>
      </c>
      <c r="H55" s="6">
        <f>IF($F55= "bare", 0, IFERROR(INDEX(carbon!$A$14:$J$48,MATCH("*"&amp;data!$E55&amp;"*",carbon!$A$14:$A$48,0),2), "NA") )</f>
        <v>0</v>
      </c>
      <c r="I55" s="6">
        <f>IF($F55= "bare", 0, IFERROR(INDEX(carbon!$A$14:$J$48,MATCH("*"&amp;data!$E55&amp;"*",carbon!$A$14:$A$48,0),4), "NA") )</f>
        <v>0</v>
      </c>
      <c r="J55" s="6">
        <f>IF($F55= "bare", 0, IFERROR(INDEX(carbon!$A$14:$J$48,MATCH("*"&amp;data!$E55&amp;"*",carbon!$A$14:$A$48,0),6), "NA") )</f>
        <v>0</v>
      </c>
      <c r="K55" s="6">
        <f>IF($F55= "bare", 0, IFERROR(INDEX(carbon!$A$14:$J$48,MATCH("*"&amp;data!$E55&amp;"*",carbon!$A$14:$A$48,0),8), "NA") )</f>
        <v>0</v>
      </c>
    </row>
    <row r="56" spans="1:11">
      <c r="A56" s="4" t="s">
        <v>14</v>
      </c>
      <c r="B56" s="4" t="s">
        <v>77</v>
      </c>
      <c r="C56" s="4" t="s">
        <v>249</v>
      </c>
      <c r="D56" s="1" t="s">
        <v>65</v>
      </c>
      <c r="E56" s="27" t="str">
        <f t="shared" si="0"/>
        <v>Cadiz_2025_R_25</v>
      </c>
      <c r="F56" s="27" t="s">
        <v>258</v>
      </c>
      <c r="G56" s="6">
        <f>IFERROR(VLOOKUP(CONCATENATE(E56, "_01"),raw!$E$2:$J$61,6)*1000, "NA")</f>
        <v>0</v>
      </c>
      <c r="H56" s="6">
        <f>IF($F56= "bare", 0, IFERROR(INDEX(carbon!$A$14:$J$48,MATCH("*"&amp;data!$E56&amp;"*",carbon!$A$14:$A$48,0),2), "NA") )</f>
        <v>0</v>
      </c>
      <c r="I56" s="6">
        <f>IF($F56= "bare", 0, IFERROR(INDEX(carbon!$A$14:$J$48,MATCH("*"&amp;data!$E56&amp;"*",carbon!$A$14:$A$48,0),4), "NA") )</f>
        <v>0</v>
      </c>
      <c r="J56" s="6">
        <f>IF($F56= "bare", 0, IFERROR(INDEX(carbon!$A$14:$J$48,MATCH("*"&amp;data!$E56&amp;"*",carbon!$A$14:$A$48,0),6), "NA") )</f>
        <v>0</v>
      </c>
      <c r="K56" s="6">
        <f>IF($F56= "bare", 0, IFERROR(INDEX(carbon!$A$14:$J$48,MATCH("*"&amp;data!$E56&amp;"*",carbon!$A$14:$A$48,0),8), "NA") )</f>
        <v>0</v>
      </c>
    </row>
    <row r="57" spans="1:11">
      <c r="A57" s="4" t="s">
        <v>14</v>
      </c>
      <c r="B57" s="4" t="s">
        <v>77</v>
      </c>
      <c r="C57" s="4" t="s">
        <v>249</v>
      </c>
      <c r="D57" s="1" t="s">
        <v>67</v>
      </c>
      <c r="E57" s="27" t="str">
        <f t="shared" si="0"/>
        <v>Cadiz_2025_R_26</v>
      </c>
      <c r="F57" s="27" t="s">
        <v>258</v>
      </c>
      <c r="G57" s="6">
        <f>IFERROR(VLOOKUP(CONCATENATE(E57, "_01"),raw!$E$2:$J$61,6)*1000, "NA")</f>
        <v>0</v>
      </c>
      <c r="H57" s="6">
        <f>IF($F57= "bare", 0, IFERROR(INDEX(carbon!$A$14:$J$48,MATCH("*"&amp;data!$E57&amp;"*",carbon!$A$14:$A$48,0),2), "NA") )</f>
        <v>0</v>
      </c>
      <c r="I57" s="6">
        <f>IF($F57= "bare", 0, IFERROR(INDEX(carbon!$A$14:$J$48,MATCH("*"&amp;data!$E57&amp;"*",carbon!$A$14:$A$48,0),4), "NA") )</f>
        <v>0</v>
      </c>
      <c r="J57" s="6">
        <f>IF($F57= "bare", 0, IFERROR(INDEX(carbon!$A$14:$J$48,MATCH("*"&amp;data!$E57&amp;"*",carbon!$A$14:$A$48,0),6), "NA") )</f>
        <v>0</v>
      </c>
      <c r="K57" s="6">
        <f>IF($F57= "bare", 0, IFERROR(INDEX(carbon!$A$14:$J$48,MATCH("*"&amp;data!$E57&amp;"*",carbon!$A$14:$A$48,0),8), "NA") )</f>
        <v>0</v>
      </c>
    </row>
    <row r="58" spans="1:11">
      <c r="A58" s="4" t="s">
        <v>14</v>
      </c>
      <c r="B58" s="4" t="s">
        <v>77</v>
      </c>
      <c r="C58" s="4" t="s">
        <v>56</v>
      </c>
      <c r="D58" s="1" t="s">
        <v>69</v>
      </c>
      <c r="E58" s="27" t="str">
        <f t="shared" si="0"/>
        <v>Cadiz_2025_R_27</v>
      </c>
      <c r="F58" s="27" t="s">
        <v>56</v>
      </c>
      <c r="G58" s="6" t="str">
        <f>IFERROR(VLOOKUP(CONCATENATE(E58, "_01"),raw!$E$2:$J$61,6)*1000, "NA")</f>
        <v>NA</v>
      </c>
      <c r="H58" s="6" t="str">
        <f>IF($F58= "bare", 0, IFERROR(INDEX(carbon!$A$14:$J$48,MATCH("*"&amp;data!$E58&amp;"*",carbon!$A$14:$A$48,0),2), "NA") )</f>
        <v>NA</v>
      </c>
      <c r="I58" s="6" t="str">
        <f>IF($F58= "bare", 0, IFERROR(INDEX(carbon!$A$14:$J$48,MATCH("*"&amp;data!$E58&amp;"*",carbon!$A$14:$A$48,0),4), "NA") )</f>
        <v>NA</v>
      </c>
      <c r="J58" s="6" t="str">
        <f>IF($F58= "bare", 0, IFERROR(INDEX(carbon!$A$14:$J$48,MATCH("*"&amp;data!$E58&amp;"*",carbon!$A$14:$A$48,0),6), "NA") )</f>
        <v>NA</v>
      </c>
      <c r="K58" s="6" t="str">
        <f>IF($F58= "bare", 0, IFERROR(INDEX(carbon!$A$14:$J$48,MATCH("*"&amp;data!$E58&amp;"*",carbon!$A$14:$A$48,0),8), "NA") )</f>
        <v>NA</v>
      </c>
    </row>
    <row r="59" spans="1:11">
      <c r="A59" s="4" t="s">
        <v>14</v>
      </c>
      <c r="B59" s="4" t="s">
        <v>77</v>
      </c>
      <c r="C59" s="4" t="s">
        <v>56</v>
      </c>
      <c r="D59" s="1" t="s">
        <v>71</v>
      </c>
      <c r="E59" s="27" t="str">
        <f t="shared" si="0"/>
        <v>Cadiz_2025_R_28</v>
      </c>
      <c r="F59" s="27" t="s">
        <v>56</v>
      </c>
      <c r="G59" s="6" t="str">
        <f>IFERROR(VLOOKUP(CONCATENATE(E59, "_01"),raw!$E$2:$J$61,6)*1000, "NA")</f>
        <v>NA</v>
      </c>
      <c r="H59" s="6" t="str">
        <f>IF($F59= "bare", 0, IFERROR(INDEX(carbon!$A$14:$J$48,MATCH("*"&amp;data!$E59&amp;"*",carbon!$A$14:$A$48,0),2), "NA") )</f>
        <v>NA</v>
      </c>
      <c r="I59" s="6" t="str">
        <f>IF($F59= "bare", 0, IFERROR(INDEX(carbon!$A$14:$J$48,MATCH("*"&amp;data!$E59&amp;"*",carbon!$A$14:$A$48,0),4), "NA") )</f>
        <v>NA</v>
      </c>
      <c r="J59" s="6" t="str">
        <f>IF($F59= "bare", 0, IFERROR(INDEX(carbon!$A$14:$J$48,MATCH("*"&amp;data!$E59&amp;"*",carbon!$A$14:$A$48,0),6), "NA") )</f>
        <v>NA</v>
      </c>
      <c r="K59" s="6" t="str">
        <f>IF($F59= "bare", 0, IFERROR(INDEX(carbon!$A$14:$J$48,MATCH("*"&amp;data!$E59&amp;"*",carbon!$A$14:$A$48,0),8), "NA") )</f>
        <v>NA</v>
      </c>
    </row>
    <row r="60" spans="1:11">
      <c r="A60" s="4" t="s">
        <v>14</v>
      </c>
      <c r="B60" s="4" t="s">
        <v>77</v>
      </c>
      <c r="C60" s="4" t="s">
        <v>56</v>
      </c>
      <c r="D60" s="1" t="s">
        <v>73</v>
      </c>
      <c r="E60" s="27" t="str">
        <f t="shared" si="0"/>
        <v>Cadiz_2025_R_29</v>
      </c>
      <c r="F60" s="27" t="s">
        <v>56</v>
      </c>
      <c r="G60" s="6" t="str">
        <f>IFERROR(VLOOKUP(CONCATENATE(E60, "_01"),raw!$E$2:$J$61,6)*1000, "NA")</f>
        <v>NA</v>
      </c>
      <c r="H60" s="6" t="str">
        <f>IF($F60= "bare", 0, IFERROR(INDEX(carbon!$A$14:$J$48,MATCH("*"&amp;data!$E60&amp;"*",carbon!$A$14:$A$48,0),2), "NA") )</f>
        <v>NA</v>
      </c>
      <c r="I60" s="6" t="str">
        <f>IF($F60= "bare", 0, IFERROR(INDEX(carbon!$A$14:$J$48,MATCH("*"&amp;data!$E60&amp;"*",carbon!$A$14:$A$48,0),4), "NA") )</f>
        <v>NA</v>
      </c>
      <c r="J60" s="6" t="str">
        <f>IF($F60= "bare", 0, IFERROR(INDEX(carbon!$A$14:$J$48,MATCH("*"&amp;data!$E60&amp;"*",carbon!$A$14:$A$48,0),6), "NA") )</f>
        <v>NA</v>
      </c>
      <c r="K60" s="6" t="str">
        <f>IF($F60= "bare", 0, IFERROR(INDEX(carbon!$A$14:$J$48,MATCH("*"&amp;data!$E60&amp;"*",carbon!$A$14:$A$48,0),8), "NA") )</f>
        <v>NA</v>
      </c>
    </row>
    <row r="61" spans="1:11">
      <c r="A61" s="4" t="s">
        <v>14</v>
      </c>
      <c r="B61" s="4" t="s">
        <v>77</v>
      </c>
      <c r="C61" s="4" t="s">
        <v>56</v>
      </c>
      <c r="D61" s="1" t="s">
        <v>75</v>
      </c>
      <c r="E61" s="27" t="str">
        <f t="shared" si="0"/>
        <v>Cadiz_2025_R_30</v>
      </c>
      <c r="F61" s="27" t="s">
        <v>56</v>
      </c>
      <c r="G61" s="6" t="str">
        <f>IFERROR(VLOOKUP(CONCATENATE(E61, "_01"),raw!$E$2:$J$61,6)*1000, "NA")</f>
        <v>NA</v>
      </c>
      <c r="H61" s="6" t="str">
        <f>IF($F61= "bare", 0, IFERROR(INDEX(carbon!$A$14:$J$48,MATCH("*"&amp;data!$E61&amp;"*",carbon!$A$14:$A$48,0),2), "NA") )</f>
        <v>NA</v>
      </c>
      <c r="I61" s="6" t="str">
        <f>IF($F61= "bare", 0, IFERROR(INDEX(carbon!$A$14:$J$48,MATCH("*"&amp;data!$E61&amp;"*",carbon!$A$14:$A$48,0),4), "NA") )</f>
        <v>NA</v>
      </c>
      <c r="J61" s="6" t="str">
        <f>IF($F61= "bare", 0, IFERROR(INDEX(carbon!$A$14:$J$48,MATCH("*"&amp;data!$E61&amp;"*",carbon!$A$14:$A$48,0),6), "NA") )</f>
        <v>NA</v>
      </c>
      <c r="K61" s="6" t="str">
        <f>IF($F61= "bare", 0, IFERROR(INDEX(carbon!$A$14:$J$48,MATCH("*"&amp;data!$E61&amp;"*",carbon!$A$14:$A$48,0),8), "NA") )</f>
        <v>NA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148"/>
  <sheetViews>
    <sheetView workbookViewId="0"/>
  </sheetViews>
  <sheetFormatPr defaultColWidth="10.44140625" defaultRowHeight="15.75"/>
  <cols>
    <col min="1" max="1" width="9.109375" customWidth="1"/>
    <col min="2" max="2" width="6.6640625" customWidth="1"/>
    <col min="3" max="3" width="7" style="1" customWidth="1"/>
    <col min="4" max="4" width="10.109375" style="1" customWidth="1"/>
    <col min="5" max="5" width="18.88671875" style="1" customWidth="1"/>
    <col min="6" max="6" width="12.33203125" style="2" bestFit="1" customWidth="1"/>
    <col min="7" max="7" width="14.88671875" style="2" bestFit="1" customWidth="1"/>
    <col min="8" max="8" width="13.33203125" style="2" bestFit="1" customWidth="1"/>
    <col min="9" max="9" width="12.33203125" style="2" bestFit="1" customWidth="1"/>
    <col min="10" max="10" width="10.44140625" style="3" bestFit="1" customWidth="1"/>
    <col min="11" max="11" width="17.6640625" style="3" bestFit="1" customWidth="1"/>
    <col min="12" max="12" width="11.5546875" style="3" bestFit="1" customWidth="1"/>
    <col min="13" max="13" width="17" style="3" bestFit="1" customWidth="1"/>
    <col min="14" max="14" width="10.88671875" style="3" bestFit="1" customWidth="1"/>
    <col min="17" max="17" width="15.33203125" customWidth="1"/>
  </cols>
  <sheetData>
    <row r="1" spans="1:22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22" ht="15">
      <c r="A2" s="4" t="s">
        <v>14</v>
      </c>
      <c r="B2" s="4" t="s">
        <v>15</v>
      </c>
      <c r="C2" s="1" t="s">
        <v>16</v>
      </c>
      <c r="D2" s="1" t="s">
        <v>16</v>
      </c>
      <c r="E2" s="1" t="s">
        <v>17</v>
      </c>
      <c r="F2" s="3">
        <v>2.76</v>
      </c>
      <c r="G2" s="3">
        <v>93.82</v>
      </c>
      <c r="H2" s="3">
        <v>11.22</v>
      </c>
      <c r="I2" s="6">
        <f t="shared" ref="I2:I18" si="0">+G2-F2</f>
        <v>91.059999999999988</v>
      </c>
      <c r="J2" s="6">
        <f>IFERROR(+H2-F2, "NA")</f>
        <v>8.4600000000000009</v>
      </c>
      <c r="K2" s="6">
        <f>IFERROR(INDEX(carbon!$A$14:$J$48,MATCH(data!$E2,carbon!$A$14:$A$48,0),2), "NA")</f>
        <v>97.99</v>
      </c>
      <c r="L2" s="6">
        <f>IFERROR(INDEX(carbon!$A$14:$J$48,MATCH(data!$E2,carbon!$A$14:$A$48,0),4), "NA")</f>
        <v>31.56</v>
      </c>
      <c r="M2" s="6">
        <f>IFERROR(INDEX(carbon!$A$14:$J$48,MATCH(data!$E2,carbon!$A$14:$A$48,0),6), "NA")</f>
        <v>315.60000000000002</v>
      </c>
      <c r="N2" s="6">
        <f>IFERROR(INDEX(carbon!$A$14:$J$48,MATCH(data!$E2,carbon!$A$14:$A$48,0),8), "NA")</f>
        <v>3.6080000000000001</v>
      </c>
      <c r="P2" s="4"/>
      <c r="Q2" s="4"/>
      <c r="R2" s="4"/>
      <c r="S2" s="4"/>
      <c r="T2" s="4"/>
      <c r="U2" s="4"/>
      <c r="V2" s="4"/>
    </row>
    <row r="3" spans="1:22" ht="15">
      <c r="A3" s="4" t="s">
        <v>14</v>
      </c>
      <c r="B3" s="4" t="s">
        <v>15</v>
      </c>
      <c r="C3" s="1" t="s">
        <v>18</v>
      </c>
      <c r="D3" s="1" t="s">
        <v>16</v>
      </c>
      <c r="E3" s="1" t="s">
        <v>19</v>
      </c>
      <c r="F3" s="3">
        <v>0.70699999999999996</v>
      </c>
      <c r="G3" s="3">
        <v>93.39</v>
      </c>
      <c r="H3" s="3">
        <v>1.5009999999999999</v>
      </c>
      <c r="I3" s="6">
        <f t="shared" si="0"/>
        <v>92.683000000000007</v>
      </c>
      <c r="J3" s="6">
        <f t="shared" ref="J3:J61" si="1">IFERROR(+H3-F3, "NA")</f>
        <v>0.79399999999999993</v>
      </c>
      <c r="K3" s="6">
        <f>IFERROR(INDEX(carbon!$A$14:$J$48,MATCH(data!$E3,carbon!$A$14:$A$48,0),2), "NA")</f>
        <v>70.47</v>
      </c>
      <c r="L3" s="6">
        <f>IFERROR(INDEX(carbon!$A$14:$J$48,MATCH(data!$E3,carbon!$A$14:$A$48,0),4), "NA")</f>
        <v>22.05</v>
      </c>
      <c r="M3" s="6">
        <f>IFERROR(INDEX(carbon!$A$14:$J$48,MATCH(data!$E3,carbon!$A$14:$A$48,0),6), "NA")</f>
        <v>351.92</v>
      </c>
      <c r="N3" s="6">
        <f>IFERROR(INDEX(carbon!$A$14:$J$48,MATCH(data!$E3,carbon!$A$14:$A$48,0),8), "NA")</f>
        <v>3.5630000000000002</v>
      </c>
      <c r="P3" s="4"/>
      <c r="Q3" s="4"/>
      <c r="R3" s="4"/>
      <c r="S3" s="4"/>
      <c r="T3" s="4"/>
      <c r="U3" s="4"/>
      <c r="V3" s="4"/>
    </row>
    <row r="4" spans="1:22" ht="15">
      <c r="A4" s="4" t="s">
        <v>14</v>
      </c>
      <c r="B4" s="4" t="s">
        <v>15</v>
      </c>
      <c r="C4" s="1" t="s">
        <v>20</v>
      </c>
      <c r="D4" s="1" t="s">
        <v>16</v>
      </c>
      <c r="E4" s="1" t="s">
        <v>21</v>
      </c>
      <c r="F4" s="3">
        <v>5.74</v>
      </c>
      <c r="G4" s="3">
        <v>156.29</v>
      </c>
      <c r="H4" s="3">
        <v>19.670000000000002</v>
      </c>
      <c r="I4" s="6">
        <f t="shared" si="0"/>
        <v>150.54999999999998</v>
      </c>
      <c r="J4" s="6">
        <f t="shared" si="1"/>
        <v>13.930000000000001</v>
      </c>
      <c r="K4" s="6">
        <f>IFERROR(INDEX(carbon!$A$14:$J$48,MATCH(data!$E4,carbon!$A$14:$A$48,0),2), "NA")</f>
        <v>79.33</v>
      </c>
      <c r="L4" s="6">
        <f>IFERROR(INDEX(carbon!$A$14:$J$48,MATCH(data!$E4,carbon!$A$14:$A$48,0),4), "NA")</f>
        <v>23.98</v>
      </c>
      <c r="M4" s="6">
        <f>IFERROR(INDEX(carbon!$A$14:$J$48,MATCH(data!$E4,carbon!$A$14:$A$48,0),6), "NA")</f>
        <v>320.35000000000002</v>
      </c>
      <c r="N4" s="6">
        <f>IFERROR(INDEX(carbon!$A$14:$J$48,MATCH(data!$E4,carbon!$A$14:$A$48,0),8), "NA")</f>
        <v>2.6360000000000001</v>
      </c>
      <c r="P4" s="4"/>
      <c r="Q4" s="4"/>
      <c r="R4" s="4"/>
      <c r="S4" s="4"/>
      <c r="T4" s="4"/>
      <c r="U4" s="4"/>
      <c r="V4" s="4"/>
    </row>
    <row r="5" spans="1:22" ht="15">
      <c r="A5" s="4" t="s">
        <v>14</v>
      </c>
      <c r="B5" s="4" t="s">
        <v>15</v>
      </c>
      <c r="C5" s="1" t="s">
        <v>22</v>
      </c>
      <c r="D5" s="1" t="s">
        <v>16</v>
      </c>
      <c r="E5" s="1" t="s">
        <v>23</v>
      </c>
      <c r="F5" s="3">
        <v>1.9039999999999999</v>
      </c>
      <c r="G5" s="3">
        <v>94.82</v>
      </c>
      <c r="H5" s="3">
        <v>10.050000000000001</v>
      </c>
      <c r="I5" s="6">
        <f t="shared" si="0"/>
        <v>92.915999999999997</v>
      </c>
      <c r="J5" s="6">
        <f t="shared" si="1"/>
        <v>8.1460000000000008</v>
      </c>
      <c r="K5" s="6">
        <f>IFERROR(INDEX(carbon!$A$14:$J$48,MATCH(data!$E5,carbon!$A$14:$A$48,0),2), "NA")</f>
        <v>73.989999999999995</v>
      </c>
      <c r="L5" s="6">
        <f>IFERROR(INDEX(carbon!$A$14:$J$48,MATCH(data!$E5,carbon!$A$14:$A$48,0),4), "NA")</f>
        <v>24.5</v>
      </c>
      <c r="M5" s="6">
        <f>IFERROR(INDEX(carbon!$A$14:$J$48,MATCH(data!$E5,carbon!$A$14:$A$48,0),6), "NA")</f>
        <v>281.98</v>
      </c>
      <c r="N5" s="6">
        <f>IFERROR(INDEX(carbon!$A$14:$J$48,MATCH(data!$E5,carbon!$A$14:$A$48,0),8), "NA")</f>
        <v>3.1829999999999998</v>
      </c>
      <c r="P5" s="4"/>
      <c r="Q5" s="4"/>
      <c r="R5" s="4"/>
      <c r="S5" s="4"/>
      <c r="T5" s="4"/>
      <c r="U5" s="4"/>
      <c r="V5" s="4"/>
    </row>
    <row r="6" spans="1:22" ht="15">
      <c r="A6" s="4" t="s">
        <v>14</v>
      </c>
      <c r="B6" s="4" t="s">
        <v>15</v>
      </c>
      <c r="C6" s="1" t="s">
        <v>24</v>
      </c>
      <c r="D6" s="1" t="s">
        <v>16</v>
      </c>
      <c r="E6" s="1" t="s">
        <v>25</v>
      </c>
      <c r="F6" s="3">
        <v>1.91</v>
      </c>
      <c r="G6" s="3">
        <v>118.21</v>
      </c>
      <c r="H6" s="3">
        <v>15.18</v>
      </c>
      <c r="I6" s="6">
        <f t="shared" si="0"/>
        <v>116.3</v>
      </c>
      <c r="J6" s="6">
        <f t="shared" si="1"/>
        <v>13.27</v>
      </c>
      <c r="K6" s="6">
        <f>IFERROR(INDEX(carbon!$A$14:$J$48,MATCH(data!$E6,carbon!$A$14:$A$48,0),2), "NA")</f>
        <v>74.010000000000005</v>
      </c>
      <c r="L6" s="6">
        <f>IFERROR(INDEX(carbon!$A$14:$J$48,MATCH(data!$E6,carbon!$A$14:$A$48,0),4), "NA")</f>
        <v>18.350000000000001</v>
      </c>
      <c r="M6" s="6">
        <f>IFERROR(INDEX(carbon!$A$14:$J$48,MATCH(data!$E6,carbon!$A$14:$A$48,0),6), "NA")</f>
        <v>727.36</v>
      </c>
      <c r="N6" s="6">
        <f>IFERROR(INDEX(carbon!$A$14:$J$48,MATCH(data!$E6,carbon!$A$14:$A$48,0),8), "NA")</f>
        <v>6.2670000000000003</v>
      </c>
      <c r="P6" s="4"/>
      <c r="Q6" s="4"/>
      <c r="R6" s="4"/>
      <c r="S6" s="4"/>
      <c r="T6" s="4"/>
      <c r="U6" s="4"/>
      <c r="V6" s="4"/>
    </row>
    <row r="7" spans="1:22" ht="15">
      <c r="A7" s="4" t="s">
        <v>14</v>
      </c>
      <c r="B7" s="4" t="s">
        <v>15</v>
      </c>
      <c r="C7" s="1" t="s">
        <v>26</v>
      </c>
      <c r="D7" s="1" t="s">
        <v>16</v>
      </c>
      <c r="E7" s="1" t="s">
        <v>27</v>
      </c>
      <c r="F7" s="3">
        <v>5.8</v>
      </c>
      <c r="G7" s="3">
        <v>95.31</v>
      </c>
      <c r="H7" s="3">
        <v>13.11</v>
      </c>
      <c r="I7" s="6">
        <f t="shared" si="0"/>
        <v>89.51</v>
      </c>
      <c r="J7" s="6">
        <f t="shared" si="1"/>
        <v>7.31</v>
      </c>
      <c r="K7" s="6">
        <f>IFERROR(INDEX(carbon!$A$14:$J$48,MATCH(data!$E7,carbon!$A$14:$A$48,0),2), "NA")</f>
        <v>68.98</v>
      </c>
      <c r="L7" s="6">
        <f>IFERROR(INDEX(carbon!$A$14:$J$48,MATCH(data!$E7,carbon!$A$14:$A$48,0),4), "NA")</f>
        <v>21.48</v>
      </c>
      <c r="M7" s="6">
        <f>IFERROR(INDEX(carbon!$A$14:$J$48,MATCH(data!$E7,carbon!$A$14:$A$48,0),6), "NA")</f>
        <v>657</v>
      </c>
      <c r="N7" s="6">
        <f>IFERROR(INDEX(carbon!$A$14:$J$48,MATCH(data!$E7,carbon!$A$14:$A$48,0),8), "NA")</f>
        <v>4.5510000000000002</v>
      </c>
      <c r="P7" s="4"/>
      <c r="Q7" s="4"/>
      <c r="R7" s="4"/>
      <c r="S7" s="4"/>
      <c r="T7" s="4"/>
      <c r="U7" s="4"/>
      <c r="V7" s="4"/>
    </row>
    <row r="8" spans="1:22" ht="15">
      <c r="A8" s="4" t="s">
        <v>14</v>
      </c>
      <c r="B8" s="4" t="s">
        <v>15</v>
      </c>
      <c r="C8" s="1" t="s">
        <v>28</v>
      </c>
      <c r="D8" s="1" t="s">
        <v>16</v>
      </c>
      <c r="E8" s="1" t="s">
        <v>29</v>
      </c>
      <c r="F8" s="3">
        <v>3.45</v>
      </c>
      <c r="G8" s="3">
        <v>100.1</v>
      </c>
      <c r="H8" s="3">
        <v>13.72</v>
      </c>
      <c r="I8" s="6">
        <f t="shared" si="0"/>
        <v>96.649999999999991</v>
      </c>
      <c r="J8" s="6">
        <f t="shared" si="1"/>
        <v>10.27</v>
      </c>
      <c r="K8" s="6">
        <f>IFERROR(INDEX(carbon!$A$14:$J$48,MATCH(data!$E8,carbon!$A$14:$A$48,0),2), "NA")</f>
        <v>73.849999999999994</v>
      </c>
      <c r="L8" s="6">
        <f>IFERROR(INDEX(carbon!$A$14:$J$48,MATCH(data!$E8,carbon!$A$14:$A$48,0),4), "NA")</f>
        <v>22.28</v>
      </c>
      <c r="M8" s="6">
        <f>IFERROR(INDEX(carbon!$A$14:$J$48,MATCH(data!$E8,carbon!$A$14:$A$48,0),6), "NA")</f>
        <v>334.55</v>
      </c>
      <c r="N8" s="6">
        <f>IFERROR(INDEX(carbon!$A$14:$J$48,MATCH(data!$E8,carbon!$A$14:$A$48,0),8), "NA")</f>
        <v>2.835</v>
      </c>
      <c r="P8" s="4"/>
      <c r="Q8" s="4"/>
      <c r="R8" s="4"/>
      <c r="S8" s="4"/>
      <c r="T8" s="4"/>
      <c r="U8" s="4"/>
      <c r="V8" s="4"/>
    </row>
    <row r="9" spans="1:22" ht="15">
      <c r="A9" s="4" t="s">
        <v>14</v>
      </c>
      <c r="B9" s="4" t="s">
        <v>15</v>
      </c>
      <c r="C9" s="1" t="s">
        <v>30</v>
      </c>
      <c r="D9" s="1" t="s">
        <v>16</v>
      </c>
      <c r="E9" s="1" t="s">
        <v>31</v>
      </c>
      <c r="F9" s="3">
        <v>1.98</v>
      </c>
      <c r="G9" s="3">
        <v>89.68</v>
      </c>
      <c r="H9" s="3">
        <v>10.67</v>
      </c>
      <c r="I9" s="6">
        <f t="shared" si="0"/>
        <v>87.7</v>
      </c>
      <c r="J9" s="6">
        <f t="shared" si="1"/>
        <v>8.69</v>
      </c>
      <c r="K9" s="6">
        <f>IFERROR(INDEX(carbon!$A$14:$J$48,MATCH(data!$E9,carbon!$A$14:$A$48,0),2), "NA")</f>
        <v>74.849999999999994</v>
      </c>
      <c r="L9" s="6">
        <f>IFERROR(INDEX(carbon!$A$14:$J$48,MATCH(data!$E9,carbon!$A$14:$A$48,0),4), "NA")</f>
        <v>24.41</v>
      </c>
      <c r="M9" s="6">
        <f>IFERROR(INDEX(carbon!$A$14:$J$48,MATCH(data!$E9,carbon!$A$14:$A$48,0),6), "NA")</f>
        <v>260.41000000000003</v>
      </c>
      <c r="N9" s="6">
        <f>IFERROR(INDEX(carbon!$A$14:$J$48,MATCH(data!$E9,carbon!$A$14:$A$48,0),8), "NA")</f>
        <v>3.0739999999999998</v>
      </c>
      <c r="P9" s="4"/>
      <c r="Q9" s="4"/>
      <c r="R9" s="4"/>
      <c r="S9" s="4"/>
      <c r="T9" s="4"/>
      <c r="U9" s="4"/>
      <c r="V9" s="4"/>
    </row>
    <row r="10" spans="1:22" ht="15">
      <c r="A10" s="4" t="s">
        <v>14</v>
      </c>
      <c r="B10" s="4" t="s">
        <v>15</v>
      </c>
      <c r="C10" s="1" t="s">
        <v>32</v>
      </c>
      <c r="D10" s="1" t="s">
        <v>16</v>
      </c>
      <c r="E10" s="1" t="s">
        <v>33</v>
      </c>
      <c r="F10" s="3">
        <v>2.0099999999999998</v>
      </c>
      <c r="G10" s="3">
        <v>108.6</v>
      </c>
      <c r="H10" s="3">
        <v>11.44</v>
      </c>
      <c r="I10" s="6">
        <f t="shared" si="0"/>
        <v>106.58999999999999</v>
      </c>
      <c r="J10" s="6">
        <f t="shared" si="1"/>
        <v>9.43</v>
      </c>
      <c r="K10" s="6">
        <f>IFERROR(INDEX(carbon!$A$14:$J$48,MATCH(data!$E10,carbon!$A$14:$A$48,0),2), "NA")</f>
        <v>68.45</v>
      </c>
      <c r="L10" s="6">
        <f>IFERROR(INDEX(carbon!$A$14:$J$48,MATCH(data!$E10,carbon!$A$14:$A$48,0),4), "NA")</f>
        <v>23.24</v>
      </c>
      <c r="M10" s="6">
        <f>IFERROR(INDEX(carbon!$A$14:$J$48,MATCH(data!$E10,carbon!$A$14:$A$48,0),6), "NA")</f>
        <v>292.89999999999998</v>
      </c>
      <c r="N10" s="6">
        <f>IFERROR(INDEX(carbon!$A$14:$J$48,MATCH(data!$E10,carbon!$A$14:$A$48,0),8), "NA")</f>
        <v>2.9279999999999999</v>
      </c>
    </row>
    <row r="11" spans="1:22" ht="15">
      <c r="A11" s="4" t="s">
        <v>14</v>
      </c>
      <c r="B11" s="4" t="s">
        <v>15</v>
      </c>
      <c r="C11" s="1" t="s">
        <v>34</v>
      </c>
      <c r="D11" s="1" t="s">
        <v>16</v>
      </c>
      <c r="E11" s="1" t="s">
        <v>35</v>
      </c>
      <c r="F11" s="3">
        <v>0.82599999999999996</v>
      </c>
      <c r="G11" s="3">
        <v>10.28</v>
      </c>
      <c r="H11" s="3">
        <v>1.746</v>
      </c>
      <c r="I11" s="6">
        <f t="shared" si="0"/>
        <v>9.4539999999999988</v>
      </c>
      <c r="J11" s="6">
        <f t="shared" si="1"/>
        <v>0.92</v>
      </c>
      <c r="K11" s="6">
        <f>IFERROR(INDEX(carbon!$A$14:$J$48,MATCH(data!$E11,carbon!$A$14:$A$48,0),2), "NA")</f>
        <v>72.59</v>
      </c>
      <c r="L11" s="6">
        <f>IFERROR(INDEX(carbon!$A$14:$J$48,MATCH(data!$E11,carbon!$A$14:$A$48,0),4), "NA")</f>
        <v>16.37</v>
      </c>
      <c r="M11" s="6">
        <f>IFERROR(INDEX(carbon!$A$14:$J$48,MATCH(data!$E11,carbon!$A$14:$A$48,0),6), "NA")</f>
        <v>590.16</v>
      </c>
      <c r="N11" s="6">
        <f>IFERROR(INDEX(carbon!$A$14:$J$48,MATCH(data!$E11,carbon!$A$14:$A$48,0),8), "NA")</f>
        <v>4.2939999999999996</v>
      </c>
    </row>
    <row r="12" spans="1:22" ht="15">
      <c r="A12" s="4" t="s">
        <v>14</v>
      </c>
      <c r="B12" s="4" t="s">
        <v>15</v>
      </c>
      <c r="C12" s="1" t="s">
        <v>36</v>
      </c>
      <c r="D12" s="1" t="s">
        <v>16</v>
      </c>
      <c r="E12" s="1" t="s">
        <v>37</v>
      </c>
      <c r="F12" s="3">
        <v>0.72599999999999998</v>
      </c>
      <c r="G12" s="3">
        <v>8.3989999999999991</v>
      </c>
      <c r="H12" s="3">
        <v>1.448</v>
      </c>
      <c r="I12" s="6">
        <f t="shared" si="0"/>
        <v>7.6729999999999992</v>
      </c>
      <c r="J12" s="6">
        <f t="shared" si="1"/>
        <v>0.72199999999999998</v>
      </c>
      <c r="K12" s="6">
        <f>IFERROR(INDEX(carbon!$A$14:$J$48,MATCH(data!$E12,carbon!$A$14:$A$48,0),2), "NA")</f>
        <v>75.22</v>
      </c>
      <c r="L12" s="6">
        <f>IFERROR(INDEX(carbon!$A$14:$J$48,MATCH(data!$E12,carbon!$A$14:$A$48,0),4), "NA")</f>
        <v>23.63</v>
      </c>
      <c r="M12" s="6">
        <f>IFERROR(INDEX(carbon!$A$14:$J$48,MATCH(data!$E12,carbon!$A$14:$A$48,0),6), "NA")</f>
        <v>349</v>
      </c>
      <c r="N12" s="6">
        <f>IFERROR(INDEX(carbon!$A$14:$J$48,MATCH(data!$E12,carbon!$A$14:$A$48,0),8), "NA")</f>
        <v>3.524</v>
      </c>
    </row>
    <row r="13" spans="1:22" ht="15">
      <c r="A13" s="4" t="s">
        <v>14</v>
      </c>
      <c r="B13" s="4" t="s">
        <v>15</v>
      </c>
      <c r="C13" s="1" t="s">
        <v>38</v>
      </c>
      <c r="D13" s="1" t="s">
        <v>16</v>
      </c>
      <c r="E13" s="1" t="s">
        <v>39</v>
      </c>
      <c r="F13" s="3">
        <v>0.91700000000000004</v>
      </c>
      <c r="G13" s="3">
        <v>11.7</v>
      </c>
      <c r="H13" s="3">
        <v>1.5109999999999999</v>
      </c>
      <c r="I13" s="6">
        <f t="shared" si="0"/>
        <v>10.782999999999999</v>
      </c>
      <c r="J13" s="6">
        <f t="shared" si="1"/>
        <v>0.59399999999999986</v>
      </c>
      <c r="K13" s="6">
        <f>IFERROR(INDEX(carbon!$A$14:$J$48,MATCH(data!$E13,carbon!$A$14:$A$48,0),2), "NA")</f>
        <v>76.19</v>
      </c>
      <c r="L13" s="6">
        <f>IFERROR(INDEX(carbon!$A$14:$J$48,MATCH(data!$E13,carbon!$A$14:$A$48,0),4), "NA")</f>
        <v>22.04</v>
      </c>
      <c r="M13" s="6">
        <f>IFERROR(INDEX(carbon!$A$14:$J$48,MATCH(data!$E13,carbon!$A$14:$A$48,0),6), "NA")</f>
        <v>298.7</v>
      </c>
      <c r="N13" s="6">
        <f>IFERROR(INDEX(carbon!$A$14:$J$48,MATCH(data!$E13,carbon!$A$14:$A$48,0),8), "NA")</f>
        <v>3.5750000000000002</v>
      </c>
    </row>
    <row r="14" spans="1:22" ht="15">
      <c r="A14" s="4" t="s">
        <v>14</v>
      </c>
      <c r="B14" s="4" t="s">
        <v>15</v>
      </c>
      <c r="C14" s="1" t="s">
        <v>40</v>
      </c>
      <c r="D14" s="1" t="s">
        <v>16</v>
      </c>
      <c r="E14" s="1" t="s">
        <v>41</v>
      </c>
      <c r="F14" s="3">
        <v>0.68400000000000005</v>
      </c>
      <c r="G14" s="3">
        <v>15.612</v>
      </c>
      <c r="H14" s="3">
        <v>1.865</v>
      </c>
      <c r="I14" s="6">
        <f t="shared" si="0"/>
        <v>14.928000000000001</v>
      </c>
      <c r="J14" s="6">
        <f t="shared" si="1"/>
        <v>1.181</v>
      </c>
      <c r="K14" s="6">
        <f>IFERROR(INDEX(carbon!$A$14:$J$48,MATCH(data!$E14,carbon!$A$14:$A$48,0),2), "NA")</f>
        <v>70.72</v>
      </c>
      <c r="L14" s="6">
        <f>IFERROR(INDEX(carbon!$A$14:$J$48,MATCH(data!$E14,carbon!$A$14:$A$48,0),4), "NA")</f>
        <v>16.399999999999999</v>
      </c>
      <c r="M14" s="6">
        <f>IFERROR(INDEX(carbon!$A$14:$J$48,MATCH(data!$E14,carbon!$A$14:$A$48,0),6), "NA")</f>
        <v>373.3</v>
      </c>
      <c r="N14" s="6">
        <f>IFERROR(INDEX(carbon!$A$14:$J$48,MATCH(data!$E14,carbon!$A$14:$A$48,0),8), "NA")</f>
        <v>8.2360000000000007</v>
      </c>
    </row>
    <row r="15" spans="1:22" ht="15">
      <c r="A15" s="4" t="s">
        <v>14</v>
      </c>
      <c r="B15" s="4" t="s">
        <v>15</v>
      </c>
      <c r="C15" s="1" t="s">
        <v>42</v>
      </c>
      <c r="D15" s="1" t="s">
        <v>16</v>
      </c>
      <c r="E15" s="1" t="s">
        <v>43</v>
      </c>
      <c r="F15" s="3">
        <v>0.79700000000000004</v>
      </c>
      <c r="G15" s="3">
        <v>12.42</v>
      </c>
      <c r="H15" s="3">
        <v>2.0489999999999999</v>
      </c>
      <c r="I15" s="6">
        <f t="shared" si="0"/>
        <v>11.622999999999999</v>
      </c>
      <c r="J15" s="6">
        <f t="shared" si="1"/>
        <v>1.2519999999999998</v>
      </c>
      <c r="K15" s="6">
        <f>IFERROR(INDEX(carbon!$A$14:$J$48,MATCH(data!$E15,carbon!$A$14:$A$48,0),2), "NA")</f>
        <v>66.72</v>
      </c>
      <c r="L15" s="6">
        <f>IFERROR(INDEX(carbon!$A$14:$J$48,MATCH(data!$E15,carbon!$A$14:$A$48,0),4), "NA")</f>
        <v>16.18</v>
      </c>
      <c r="M15" s="6">
        <f>IFERROR(INDEX(carbon!$A$14:$J$48,MATCH(data!$E15,carbon!$A$14:$A$48,0),6), "NA")</f>
        <v>339.66</v>
      </c>
      <c r="N15" s="6">
        <f>IFERROR(INDEX(carbon!$A$14:$J$48,MATCH(data!$E15,carbon!$A$14:$A$48,0),8), "NA")</f>
        <v>5.8449999999999998</v>
      </c>
    </row>
    <row r="16" spans="1:22" ht="15">
      <c r="A16" s="4" t="s">
        <v>14</v>
      </c>
      <c r="B16" s="4" t="s">
        <v>15</v>
      </c>
      <c r="C16" s="1" t="s">
        <v>44</v>
      </c>
      <c r="D16" s="1" t="s">
        <v>16</v>
      </c>
      <c r="E16" s="1" t="s">
        <v>45</v>
      </c>
      <c r="F16" s="3">
        <v>1.083</v>
      </c>
      <c r="G16" s="3">
        <v>7.4249999999999998</v>
      </c>
      <c r="H16" s="3">
        <v>2.4750000000000001</v>
      </c>
      <c r="I16" s="6">
        <f t="shared" si="0"/>
        <v>6.3419999999999996</v>
      </c>
      <c r="J16" s="6">
        <f t="shared" si="1"/>
        <v>1.3920000000000001</v>
      </c>
      <c r="K16" s="6">
        <f>IFERROR(INDEX(carbon!$A$14:$J$48,MATCH(data!$E16,carbon!$A$14:$A$48,0),2), "NA")</f>
        <v>65.709999999999994</v>
      </c>
      <c r="L16" s="6">
        <f>IFERROR(INDEX(carbon!$A$14:$J$48,MATCH(data!$E16,carbon!$A$14:$A$48,0),4), "NA")</f>
        <v>7.91</v>
      </c>
      <c r="M16" s="6">
        <f>IFERROR(INDEX(carbon!$A$14:$J$48,MATCH(data!$E16,carbon!$A$14:$A$48,0),6), "NA")</f>
        <v>529.88</v>
      </c>
      <c r="N16" s="6">
        <f>IFERROR(INDEX(carbon!$A$14:$J$48,MATCH(data!$E16,carbon!$A$14:$A$48,0),8), "NA")</f>
        <v>8.02</v>
      </c>
    </row>
    <row r="17" spans="1:14" ht="15">
      <c r="A17" s="4" t="s">
        <v>14</v>
      </c>
      <c r="B17" s="4" t="s">
        <v>15</v>
      </c>
      <c r="C17" s="1" t="s">
        <v>46</v>
      </c>
      <c r="D17" s="1" t="s">
        <v>16</v>
      </c>
      <c r="E17" s="1" t="s">
        <v>47</v>
      </c>
      <c r="F17" s="3">
        <v>1.43</v>
      </c>
      <c r="G17" s="3">
        <v>12.54</v>
      </c>
      <c r="H17" s="3">
        <v>2.5409999999999999</v>
      </c>
      <c r="I17" s="6">
        <f t="shared" si="0"/>
        <v>11.11</v>
      </c>
      <c r="J17" s="6">
        <f t="shared" si="1"/>
        <v>1.111</v>
      </c>
      <c r="K17" s="6">
        <f>IFERROR(INDEX(carbon!$A$14:$J$48,MATCH(data!$E17,carbon!$A$14:$A$48,0),2), "NA")</f>
        <v>68.989999999999995</v>
      </c>
      <c r="L17" s="6">
        <f>IFERROR(INDEX(carbon!$A$14:$J$48,MATCH(data!$E17,carbon!$A$14:$A$48,0),4), "NA")</f>
        <v>18.23</v>
      </c>
      <c r="M17" s="6">
        <f>IFERROR(INDEX(carbon!$A$14:$J$48,MATCH(data!$E17,carbon!$A$14:$A$48,0),6), "NA")</f>
        <v>386.41</v>
      </c>
      <c r="N17" s="6">
        <f>IFERROR(INDEX(carbon!$A$14:$J$48,MATCH(data!$E17,carbon!$A$14:$A$48,0),8), "NA")</f>
        <v>4.0739999999999998</v>
      </c>
    </row>
    <row r="18" spans="1:14" ht="15">
      <c r="A18" s="4" t="s">
        <v>14</v>
      </c>
      <c r="B18" s="4" t="s">
        <v>15</v>
      </c>
      <c r="C18" s="1" t="s">
        <v>48</v>
      </c>
      <c r="D18" s="1" t="s">
        <v>16</v>
      </c>
      <c r="E18" s="1" t="s">
        <v>49</v>
      </c>
      <c r="F18" s="3">
        <v>1.3169999999999999</v>
      </c>
      <c r="G18" s="3">
        <v>8.1539999999999999</v>
      </c>
      <c r="H18" s="3">
        <v>2.4580000000000002</v>
      </c>
      <c r="I18" s="6">
        <f t="shared" si="0"/>
        <v>6.8369999999999997</v>
      </c>
      <c r="J18" s="6">
        <f t="shared" si="1"/>
        <v>1.1410000000000002</v>
      </c>
      <c r="K18" s="6">
        <f>IFERROR(INDEX(carbon!$A$14:$J$48,MATCH(data!$E18,carbon!$A$14:$A$48,0),2), "NA")</f>
        <v>71.47</v>
      </c>
      <c r="L18" s="6">
        <f>IFERROR(INDEX(carbon!$A$14:$J$48,MATCH(data!$E18,carbon!$A$14:$A$48,0),4), "NA")</f>
        <v>17.64</v>
      </c>
      <c r="M18" s="6">
        <f>IFERROR(INDEX(carbon!$A$14:$J$48,MATCH(data!$E18,carbon!$A$14:$A$48,0),6), "NA")</f>
        <v>393.52</v>
      </c>
      <c r="N18" s="6">
        <f>IFERROR(INDEX(carbon!$A$14:$J$48,MATCH(data!$E18,carbon!$A$14:$A$48,0),8), "NA")</f>
        <v>2.496</v>
      </c>
    </row>
    <row r="19" spans="1:14" ht="15">
      <c r="A19" s="4" t="s">
        <v>14</v>
      </c>
      <c r="B19" s="4" t="s">
        <v>15</v>
      </c>
      <c r="C19" s="1" t="s">
        <v>50</v>
      </c>
      <c r="D19" s="1" t="s">
        <v>16</v>
      </c>
      <c r="E19" s="1" t="s">
        <v>51</v>
      </c>
      <c r="F19" s="3">
        <v>0.53100000000000003</v>
      </c>
      <c r="G19" s="3">
        <v>0</v>
      </c>
      <c r="H19" s="3">
        <v>0</v>
      </c>
      <c r="I19" s="6">
        <v>0</v>
      </c>
      <c r="J19" s="6">
        <f t="shared" si="1"/>
        <v>-0.53100000000000003</v>
      </c>
      <c r="K19" s="6" t="str">
        <f>IFERROR(INDEX(carbon!$A$14:$J$48,MATCH(data!$E19,carbon!$A$14:$A$48,0),2), "NA")</f>
        <v>NA</v>
      </c>
      <c r="L19" s="6" t="str">
        <f>IFERROR(INDEX(carbon!$A$14:$J$48,MATCH(data!$E19,carbon!$A$14:$A$48,0),4), "NA")</f>
        <v>NA</v>
      </c>
      <c r="M19" s="6" t="str">
        <f>IFERROR(INDEX(carbon!$A$14:$J$48,MATCH(data!$E19,carbon!$A$14:$A$48,0),6), "NA")</f>
        <v>NA</v>
      </c>
      <c r="N19" s="6" t="str">
        <f>IFERROR(INDEX(carbon!$A$14:$J$48,MATCH(data!$E19,carbon!$A$14:$A$48,0),8), "NA")</f>
        <v>NA</v>
      </c>
    </row>
    <row r="20" spans="1:14" ht="15">
      <c r="A20" s="4" t="s">
        <v>14</v>
      </c>
      <c r="B20" s="4" t="s">
        <v>15</v>
      </c>
      <c r="C20" s="1" t="s">
        <v>52</v>
      </c>
      <c r="D20" s="1" t="s">
        <v>16</v>
      </c>
      <c r="E20" s="1" t="s">
        <v>53</v>
      </c>
      <c r="F20" s="3">
        <v>0.38800000000000001</v>
      </c>
      <c r="G20" s="3">
        <v>0.54400000000000004</v>
      </c>
      <c r="H20" s="3">
        <v>0.439</v>
      </c>
      <c r="I20" s="6">
        <f>+G20-F20</f>
        <v>0.15600000000000003</v>
      </c>
      <c r="J20" s="6">
        <f t="shared" si="1"/>
        <v>5.099999999999999E-2</v>
      </c>
      <c r="K20" s="6" t="str">
        <f>IFERROR(INDEX(carbon!$A$14:$J$48,MATCH(data!$E20,carbon!$A$14:$A$48,0),2), "NA")</f>
        <v>NA</v>
      </c>
      <c r="L20" s="6" t="str">
        <f>IFERROR(INDEX(carbon!$A$14:$J$48,MATCH(data!$E20,carbon!$A$14:$A$48,0),4), "NA")</f>
        <v>NA</v>
      </c>
      <c r="M20" s="6" t="str">
        <f>IFERROR(INDEX(carbon!$A$14:$J$48,MATCH(data!$E20,carbon!$A$14:$A$48,0),6), "NA")</f>
        <v>NA</v>
      </c>
      <c r="N20" s="6" t="str">
        <f>IFERROR(INDEX(carbon!$A$14:$J$48,MATCH(data!$E20,carbon!$A$14:$A$48,0),8), "NA")</f>
        <v>NA</v>
      </c>
    </row>
    <row r="21" spans="1:14" ht="15">
      <c r="A21" s="4" t="s">
        <v>14</v>
      </c>
      <c r="B21" s="4" t="s">
        <v>15</v>
      </c>
      <c r="C21" s="1" t="s">
        <v>54</v>
      </c>
      <c r="D21" s="1" t="s">
        <v>16</v>
      </c>
      <c r="E21" s="1" t="s">
        <v>55</v>
      </c>
      <c r="F21" s="3">
        <v>0</v>
      </c>
      <c r="G21" s="3">
        <v>0</v>
      </c>
      <c r="H21" s="3">
        <v>0</v>
      </c>
      <c r="I21" s="6">
        <v>0</v>
      </c>
      <c r="J21" s="6">
        <f t="shared" si="1"/>
        <v>0</v>
      </c>
      <c r="K21" s="6" t="str">
        <f>IFERROR(INDEX(carbon!$A$14:$J$48,MATCH(data!$E21,carbon!$A$14:$A$48,0),2), "NA")</f>
        <v>NA</v>
      </c>
      <c r="L21" s="6" t="str">
        <f>IFERROR(INDEX(carbon!$A$14:$J$48,MATCH(data!$E21,carbon!$A$14:$A$48,0),4), "NA")</f>
        <v>NA</v>
      </c>
      <c r="M21" s="6" t="str">
        <f>IFERROR(INDEX(carbon!$A$14:$J$48,MATCH(data!$E21,carbon!$A$14:$A$48,0),6), "NA")</f>
        <v>NA</v>
      </c>
      <c r="N21" s="6" t="str">
        <f>IFERROR(INDEX(carbon!$A$14:$J$48,MATCH(data!$E21,carbon!$A$14:$A$48,0),8), "NA")</f>
        <v>NA</v>
      </c>
    </row>
    <row r="22" spans="1:14" ht="15">
      <c r="A22" s="4" t="s">
        <v>14</v>
      </c>
      <c r="B22" s="4" t="s">
        <v>15</v>
      </c>
      <c r="C22" s="1" t="s">
        <v>57</v>
      </c>
      <c r="D22" s="1" t="s">
        <v>16</v>
      </c>
      <c r="E22" s="1" t="s">
        <v>58</v>
      </c>
      <c r="F22" s="3">
        <v>0.50800000000000001</v>
      </c>
      <c r="G22" s="3">
        <v>0.59099999999999997</v>
      </c>
      <c r="H22" s="3">
        <v>0.53</v>
      </c>
      <c r="I22" s="6">
        <f t="shared" ref="I22:I48" si="2">+G22-F22</f>
        <v>8.2999999999999963E-2</v>
      </c>
      <c r="J22" s="6">
        <f t="shared" si="1"/>
        <v>2.200000000000002E-2</v>
      </c>
      <c r="K22" s="6" t="str">
        <f>IFERROR(INDEX(carbon!$A$14:$J$48,MATCH(data!$E22,carbon!$A$14:$A$48,0),2), "NA")</f>
        <v>NA</v>
      </c>
      <c r="L22" s="6" t="str">
        <f>IFERROR(INDEX(carbon!$A$14:$J$48,MATCH(data!$E22,carbon!$A$14:$A$48,0),4), "NA")</f>
        <v>NA</v>
      </c>
      <c r="M22" s="6" t="str">
        <f>IFERROR(INDEX(carbon!$A$14:$J$48,MATCH(data!$E22,carbon!$A$14:$A$48,0),6), "NA")</f>
        <v>NA</v>
      </c>
      <c r="N22" s="6" t="str">
        <f>IFERROR(INDEX(carbon!$A$14:$J$48,MATCH(data!$E22,carbon!$A$14:$A$48,0),8), "NA")</f>
        <v>NA</v>
      </c>
    </row>
    <row r="23" spans="1:14" ht="15">
      <c r="A23" s="4" t="s">
        <v>14</v>
      </c>
      <c r="B23" s="4" t="s">
        <v>15</v>
      </c>
      <c r="C23" s="1" t="s">
        <v>59</v>
      </c>
      <c r="D23" s="1" t="s">
        <v>16</v>
      </c>
      <c r="E23" s="1" t="s">
        <v>60</v>
      </c>
      <c r="F23" s="3">
        <v>0.47499999999999998</v>
      </c>
      <c r="G23" s="3">
        <v>16.332999999999998</v>
      </c>
      <c r="H23" s="3">
        <v>1.919</v>
      </c>
      <c r="I23" s="6">
        <f t="shared" si="2"/>
        <v>15.857999999999999</v>
      </c>
      <c r="J23" s="6">
        <f t="shared" si="1"/>
        <v>1.444</v>
      </c>
      <c r="K23" s="6" t="str">
        <f>IFERROR(INDEX(carbon!$A$14:$J$48,MATCH(data!$E23,carbon!$A$14:$A$48,0),2), "NA")</f>
        <v>NA</v>
      </c>
      <c r="L23" s="6" t="str">
        <f>IFERROR(INDEX(carbon!$A$14:$J$48,MATCH(data!$E23,carbon!$A$14:$A$48,0),4), "NA")</f>
        <v>NA</v>
      </c>
      <c r="M23" s="6" t="str">
        <f>IFERROR(INDEX(carbon!$A$14:$J$48,MATCH(data!$E23,carbon!$A$14:$A$48,0),6), "NA")</f>
        <v>NA</v>
      </c>
      <c r="N23" s="6" t="str">
        <f>IFERROR(INDEX(carbon!$A$14:$J$48,MATCH(data!$E23,carbon!$A$14:$A$48,0),8), "NA")</f>
        <v>NA</v>
      </c>
    </row>
    <row r="24" spans="1:14" ht="15">
      <c r="A24" s="4" t="s">
        <v>14</v>
      </c>
      <c r="B24" s="4" t="s">
        <v>15</v>
      </c>
      <c r="C24" s="1" t="s">
        <v>61</v>
      </c>
      <c r="D24" s="1" t="s">
        <v>16</v>
      </c>
      <c r="E24" s="1" t="s">
        <v>62</v>
      </c>
      <c r="F24" s="3">
        <v>0</v>
      </c>
      <c r="G24" s="3">
        <v>0</v>
      </c>
      <c r="H24" s="3">
        <v>0</v>
      </c>
      <c r="I24" s="6">
        <v>0</v>
      </c>
      <c r="J24" s="6">
        <f t="shared" si="1"/>
        <v>0</v>
      </c>
      <c r="K24" s="6" t="str">
        <f>IFERROR(INDEX(carbon!$A$14:$J$48,MATCH(data!$E24,carbon!$A$14:$A$48,0),2), "NA")</f>
        <v>NA</v>
      </c>
      <c r="L24" s="6" t="str">
        <f>IFERROR(INDEX(carbon!$A$14:$J$48,MATCH(data!$E24,carbon!$A$14:$A$48,0),4), "NA")</f>
        <v>NA</v>
      </c>
      <c r="M24" s="6" t="str">
        <f>IFERROR(INDEX(carbon!$A$14:$J$48,MATCH(data!$E24,carbon!$A$14:$A$48,0),6), "NA")</f>
        <v>NA</v>
      </c>
      <c r="N24" s="6" t="str">
        <f>IFERROR(INDEX(carbon!$A$14:$J$48,MATCH(data!$E24,carbon!$A$14:$A$48,0),8), "NA")</f>
        <v>NA</v>
      </c>
    </row>
    <row r="25" spans="1:14" ht="15">
      <c r="A25" s="4" t="s">
        <v>14</v>
      </c>
      <c r="B25" s="4" t="s">
        <v>15</v>
      </c>
      <c r="C25" s="1" t="s">
        <v>63</v>
      </c>
      <c r="D25" s="1" t="s">
        <v>16</v>
      </c>
      <c r="E25" s="1" t="s">
        <v>64</v>
      </c>
      <c r="F25" s="3">
        <v>0.46899999999999997</v>
      </c>
      <c r="G25" s="3">
        <v>0.52900000000000003</v>
      </c>
      <c r="H25" s="3">
        <v>0.48799999999999999</v>
      </c>
      <c r="I25" s="6">
        <f t="shared" si="2"/>
        <v>6.0000000000000053E-2</v>
      </c>
      <c r="J25" s="6">
        <f t="shared" si="1"/>
        <v>1.9000000000000017E-2</v>
      </c>
      <c r="K25" s="6" t="str">
        <f>IFERROR(INDEX(carbon!$A$14:$J$48,MATCH(data!$E25,carbon!$A$14:$A$48,0),2), "NA")</f>
        <v>NA</v>
      </c>
      <c r="L25" s="6" t="str">
        <f>IFERROR(INDEX(carbon!$A$14:$J$48,MATCH(data!$E25,carbon!$A$14:$A$48,0),4), "NA")</f>
        <v>NA</v>
      </c>
      <c r="M25" s="6" t="str">
        <f>IFERROR(INDEX(carbon!$A$14:$J$48,MATCH(data!$E25,carbon!$A$14:$A$48,0),6), "NA")</f>
        <v>NA</v>
      </c>
      <c r="N25" s="6" t="str">
        <f>IFERROR(INDEX(carbon!$A$14:$J$48,MATCH(data!$E25,carbon!$A$14:$A$48,0),8), "NA")</f>
        <v>NA</v>
      </c>
    </row>
    <row r="26" spans="1:14" ht="15">
      <c r="A26" s="4" t="s">
        <v>14</v>
      </c>
      <c r="B26" s="4" t="s">
        <v>15</v>
      </c>
      <c r="C26" s="1" t="s">
        <v>65</v>
      </c>
      <c r="D26" s="1" t="s">
        <v>16</v>
      </c>
      <c r="E26" s="1" t="s">
        <v>66</v>
      </c>
      <c r="F26" s="3">
        <v>0.89300000000000002</v>
      </c>
      <c r="G26" s="3">
        <v>1.0549999999999999</v>
      </c>
      <c r="H26" s="3">
        <v>0.93200000000000005</v>
      </c>
      <c r="I26" s="6">
        <f t="shared" si="2"/>
        <v>0.16199999999999992</v>
      </c>
      <c r="J26" s="6">
        <f t="shared" si="1"/>
        <v>3.9000000000000035E-2</v>
      </c>
      <c r="K26" s="6" t="str">
        <f>IFERROR(INDEX(carbon!$A$14:$J$48,MATCH(data!$E26,carbon!$A$14:$A$48,0),2), "NA")</f>
        <v>NA</v>
      </c>
      <c r="L26" s="6" t="str">
        <f>IFERROR(INDEX(carbon!$A$14:$J$48,MATCH(data!$E26,carbon!$A$14:$A$48,0),4), "NA")</f>
        <v>NA</v>
      </c>
      <c r="M26" s="6" t="str">
        <f>IFERROR(INDEX(carbon!$A$14:$J$48,MATCH(data!$E26,carbon!$A$14:$A$48,0),6), "NA")</f>
        <v>NA</v>
      </c>
      <c r="N26" s="6" t="str">
        <f>IFERROR(INDEX(carbon!$A$14:$J$48,MATCH(data!$E26,carbon!$A$14:$A$48,0),8), "NA")</f>
        <v>NA</v>
      </c>
    </row>
    <row r="27" spans="1:14" ht="15">
      <c r="A27" s="4" t="s">
        <v>14</v>
      </c>
      <c r="B27" s="4" t="s">
        <v>15</v>
      </c>
      <c r="C27" s="1" t="s">
        <v>67</v>
      </c>
      <c r="D27" s="1" t="s">
        <v>16</v>
      </c>
      <c r="E27" s="1" t="s">
        <v>68</v>
      </c>
      <c r="F27" s="3">
        <v>0.65900000000000003</v>
      </c>
      <c r="G27" s="3">
        <v>0.747</v>
      </c>
      <c r="H27" s="3">
        <v>0.67300000000000004</v>
      </c>
      <c r="I27" s="6">
        <f t="shared" si="2"/>
        <v>8.7999999999999967E-2</v>
      </c>
      <c r="J27" s="6">
        <f t="shared" si="1"/>
        <v>1.4000000000000012E-2</v>
      </c>
      <c r="K27" s="6" t="str">
        <f>IFERROR(INDEX(carbon!$A$14:$J$48,MATCH(data!$E27,carbon!$A$14:$A$48,0),2), "NA")</f>
        <v>NA</v>
      </c>
      <c r="L27" s="6" t="str">
        <f>IFERROR(INDEX(carbon!$A$14:$J$48,MATCH(data!$E27,carbon!$A$14:$A$48,0),4), "NA")</f>
        <v>NA</v>
      </c>
      <c r="M27" s="6" t="str">
        <f>IFERROR(INDEX(carbon!$A$14:$J$48,MATCH(data!$E27,carbon!$A$14:$A$48,0),6), "NA")</f>
        <v>NA</v>
      </c>
      <c r="N27" s="6" t="str">
        <f>IFERROR(INDEX(carbon!$A$14:$J$48,MATCH(data!$E27,carbon!$A$14:$A$48,0),8), "NA")</f>
        <v>NA</v>
      </c>
    </row>
    <row r="28" spans="1:14" ht="15">
      <c r="A28" s="4" t="s">
        <v>14</v>
      </c>
      <c r="B28" s="4" t="s">
        <v>15</v>
      </c>
      <c r="C28" s="1" t="s">
        <v>69</v>
      </c>
      <c r="D28" s="1" t="s">
        <v>16</v>
      </c>
      <c r="E28" s="1" t="s">
        <v>70</v>
      </c>
      <c r="F28" s="3" t="s">
        <v>56</v>
      </c>
      <c r="G28" s="3" t="s">
        <v>56</v>
      </c>
      <c r="H28" s="3" t="s">
        <v>56</v>
      </c>
      <c r="I28" s="3" t="s">
        <v>56</v>
      </c>
      <c r="J28" s="6" t="str">
        <f t="shared" ref="J28" si="3">IFERROR(+H28-F28, "NA")</f>
        <v>NA</v>
      </c>
      <c r="K28" s="6" t="str">
        <f t="shared" ref="K28" si="4">IFERROR(+I28-G28, "NA")</f>
        <v>NA</v>
      </c>
      <c r="L28" s="6" t="str">
        <f t="shared" ref="L28" si="5">IFERROR(+J28-H28, "NA")</f>
        <v>NA</v>
      </c>
      <c r="M28" s="6" t="str">
        <f t="shared" ref="M28" si="6">IFERROR(+K28-I28, "NA")</f>
        <v>NA</v>
      </c>
      <c r="N28" s="6" t="str">
        <f t="shared" ref="N28" si="7">IFERROR(+L28-J28, "NA")</f>
        <v>NA</v>
      </c>
    </row>
    <row r="29" spans="1:14" ht="15">
      <c r="A29" s="4" t="s">
        <v>14</v>
      </c>
      <c r="B29" s="4" t="s">
        <v>15</v>
      </c>
      <c r="C29" s="1" t="s">
        <v>71</v>
      </c>
      <c r="D29" s="1" t="s">
        <v>16</v>
      </c>
      <c r="E29" s="1" t="s">
        <v>72</v>
      </c>
      <c r="F29" s="3" t="s">
        <v>56</v>
      </c>
      <c r="G29" s="3" t="s">
        <v>56</v>
      </c>
      <c r="H29" s="3" t="s">
        <v>56</v>
      </c>
      <c r="I29" s="6" t="s">
        <v>56</v>
      </c>
      <c r="J29" s="6" t="str">
        <f t="shared" si="1"/>
        <v>NA</v>
      </c>
      <c r="K29" s="6" t="str">
        <f t="shared" ref="K29:K31" si="8">IFERROR(+I29-G29, "NA")</f>
        <v>NA</v>
      </c>
      <c r="L29" s="6" t="str">
        <f t="shared" ref="L29:L31" si="9">IFERROR(+J29-H29, "NA")</f>
        <v>NA</v>
      </c>
      <c r="M29" s="6" t="str">
        <f t="shared" ref="M29:M31" si="10">IFERROR(+K29-I29, "NA")</f>
        <v>NA</v>
      </c>
      <c r="N29" s="6" t="str">
        <f t="shared" ref="N29:N31" si="11">IFERROR(+L29-J29, "NA")</f>
        <v>NA</v>
      </c>
    </row>
    <row r="30" spans="1:14" ht="15">
      <c r="A30" s="4" t="s">
        <v>14</v>
      </c>
      <c r="B30" s="4" t="s">
        <v>15</v>
      </c>
      <c r="C30" s="1" t="s">
        <v>73</v>
      </c>
      <c r="D30" s="1" t="s">
        <v>16</v>
      </c>
      <c r="E30" s="1" t="s">
        <v>74</v>
      </c>
      <c r="F30" s="3" t="s">
        <v>56</v>
      </c>
      <c r="G30" s="3" t="s">
        <v>56</v>
      </c>
      <c r="H30" s="3" t="s">
        <v>56</v>
      </c>
      <c r="I30" s="6" t="s">
        <v>56</v>
      </c>
      <c r="J30" s="6" t="str">
        <f t="shared" si="1"/>
        <v>NA</v>
      </c>
      <c r="K30" s="6" t="str">
        <f t="shared" si="8"/>
        <v>NA</v>
      </c>
      <c r="L30" s="6" t="str">
        <f t="shared" si="9"/>
        <v>NA</v>
      </c>
      <c r="M30" s="6" t="str">
        <f t="shared" si="10"/>
        <v>NA</v>
      </c>
      <c r="N30" s="6" t="str">
        <f t="shared" si="11"/>
        <v>NA</v>
      </c>
    </row>
    <row r="31" spans="1:14" ht="15">
      <c r="A31" s="4" t="s">
        <v>14</v>
      </c>
      <c r="B31" s="4" t="s">
        <v>15</v>
      </c>
      <c r="C31" s="1" t="s">
        <v>75</v>
      </c>
      <c r="D31" s="1" t="s">
        <v>16</v>
      </c>
      <c r="E31" s="1" t="s">
        <v>76</v>
      </c>
      <c r="F31" s="3" t="s">
        <v>56</v>
      </c>
      <c r="G31" s="3" t="s">
        <v>56</v>
      </c>
      <c r="H31" s="3" t="s">
        <v>56</v>
      </c>
      <c r="I31" s="6" t="s">
        <v>56</v>
      </c>
      <c r="J31" s="6" t="str">
        <f t="shared" si="1"/>
        <v>NA</v>
      </c>
      <c r="K31" s="6" t="str">
        <f t="shared" si="8"/>
        <v>NA</v>
      </c>
      <c r="L31" s="6" t="str">
        <f t="shared" si="9"/>
        <v>NA</v>
      </c>
      <c r="M31" s="6" t="str">
        <f t="shared" si="10"/>
        <v>NA</v>
      </c>
      <c r="N31" s="6" t="str">
        <f t="shared" si="11"/>
        <v>NA</v>
      </c>
    </row>
    <row r="32" spans="1:14" ht="15">
      <c r="A32" s="4" t="s">
        <v>14</v>
      </c>
      <c r="B32" s="4" t="s">
        <v>77</v>
      </c>
      <c r="C32" s="1" t="s">
        <v>16</v>
      </c>
      <c r="D32" s="1" t="s">
        <v>16</v>
      </c>
      <c r="E32" s="1" t="s">
        <v>78</v>
      </c>
      <c r="F32" s="3">
        <v>0.57999999999999996</v>
      </c>
      <c r="G32" s="3">
        <v>15.430999999999999</v>
      </c>
      <c r="H32" s="3">
        <v>2.2280000000000002</v>
      </c>
      <c r="I32" s="6">
        <f t="shared" si="2"/>
        <v>14.850999999999999</v>
      </c>
      <c r="J32" s="6">
        <f t="shared" si="1"/>
        <v>1.6480000000000001</v>
      </c>
      <c r="K32" s="6">
        <f>IFERROR(INDEX(carbon!$A$14:$J$48,MATCH(data!$E32,carbon!$A$14:$A$48,0),2), "NA")</f>
        <v>70.86</v>
      </c>
      <c r="L32" s="6">
        <f>IFERROR(INDEX(carbon!$A$14:$J$48,MATCH(data!$E32,carbon!$A$14:$A$48,0),4), "NA")</f>
        <v>22.58</v>
      </c>
      <c r="M32" s="6">
        <f>IFERROR(INDEX(carbon!$A$14:$J$48,MATCH(data!$E32,carbon!$A$14:$A$48,0),6), "NA")</f>
        <v>353.87</v>
      </c>
      <c r="N32" s="6">
        <f>IFERROR(INDEX(carbon!$A$14:$J$48,MATCH(data!$E32,carbon!$A$14:$A$48,0),8), "NA")</f>
        <v>3.3210000000000002</v>
      </c>
    </row>
    <row r="33" spans="1:14" ht="15">
      <c r="A33" s="4" t="s">
        <v>14</v>
      </c>
      <c r="B33" s="4" t="s">
        <v>77</v>
      </c>
      <c r="C33" s="1" t="s">
        <v>18</v>
      </c>
      <c r="D33" s="1" t="s">
        <v>16</v>
      </c>
      <c r="E33" s="1" t="s">
        <v>79</v>
      </c>
      <c r="F33" s="3">
        <v>0.56699999999999995</v>
      </c>
      <c r="G33" s="3">
        <v>23.905999999999999</v>
      </c>
      <c r="H33" s="3">
        <v>1.9410000000000001</v>
      </c>
      <c r="I33" s="6">
        <f t="shared" si="2"/>
        <v>23.338999999999999</v>
      </c>
      <c r="J33" s="6">
        <f t="shared" si="1"/>
        <v>1.3740000000000001</v>
      </c>
      <c r="K33" s="6">
        <f>IFERROR(INDEX(carbon!$A$14:$J$48,MATCH(data!$E33,carbon!$A$14:$A$48,0),2), "NA")</f>
        <v>72.069999999999993</v>
      </c>
      <c r="L33" s="6">
        <f>IFERROR(INDEX(carbon!$A$14:$J$48,MATCH(data!$E33,carbon!$A$14:$A$48,0),4), "NA")</f>
        <v>24.34</v>
      </c>
      <c r="M33" s="6">
        <f>IFERROR(INDEX(carbon!$A$14:$J$48,MATCH(data!$E33,carbon!$A$14:$A$48,0),6), "NA")</f>
        <v>395</v>
      </c>
      <c r="N33" s="6">
        <f>IFERROR(INDEX(carbon!$A$14:$J$48,MATCH(data!$E33,carbon!$A$14:$A$48,0),8), "NA")</f>
        <v>4.1420000000000003</v>
      </c>
    </row>
    <row r="34" spans="1:14" ht="15">
      <c r="A34" s="4" t="s">
        <v>14</v>
      </c>
      <c r="B34" s="4" t="s">
        <v>77</v>
      </c>
      <c r="C34" s="1" t="s">
        <v>20</v>
      </c>
      <c r="D34" s="1" t="s">
        <v>16</v>
      </c>
      <c r="E34" s="1" t="s">
        <v>80</v>
      </c>
      <c r="F34" s="3">
        <v>1.65</v>
      </c>
      <c r="G34" s="3">
        <v>16.172000000000001</v>
      </c>
      <c r="H34" s="3">
        <v>3.0779999999999998</v>
      </c>
      <c r="I34" s="6">
        <f t="shared" si="2"/>
        <v>14.522</v>
      </c>
      <c r="J34" s="6">
        <f t="shared" si="1"/>
        <v>1.4279999999999999</v>
      </c>
      <c r="K34" s="6">
        <f>IFERROR(INDEX(carbon!$A$14:$J$48,MATCH(data!$E34,carbon!$A$14:$A$48,0),2), "NA")</f>
        <v>70.98</v>
      </c>
      <c r="L34" s="6">
        <f>IFERROR(INDEX(carbon!$A$14:$J$48,MATCH(data!$E34,carbon!$A$14:$A$48,0),4), "NA")</f>
        <v>20.7</v>
      </c>
      <c r="M34" s="6">
        <f>IFERROR(INDEX(carbon!$A$14:$J$48,MATCH(data!$E34,carbon!$A$14:$A$48,0),6), "NA")</f>
        <v>366.05</v>
      </c>
      <c r="N34" s="6">
        <f>IFERROR(INDEX(carbon!$A$14:$J$48,MATCH(data!$E34,carbon!$A$14:$A$48,0),8), "NA")</f>
        <v>3.0979999999999999</v>
      </c>
    </row>
    <row r="35" spans="1:14" ht="15">
      <c r="A35" s="4" t="s">
        <v>14</v>
      </c>
      <c r="B35" s="4" t="s">
        <v>77</v>
      </c>
      <c r="C35" s="1" t="s">
        <v>22</v>
      </c>
      <c r="D35" s="1" t="s">
        <v>16</v>
      </c>
      <c r="E35" s="1" t="s">
        <v>81</v>
      </c>
      <c r="F35" s="3">
        <v>0.52500000000000002</v>
      </c>
      <c r="G35" s="3">
        <v>27.42</v>
      </c>
      <c r="H35" s="3">
        <v>2.5609999999999999</v>
      </c>
      <c r="I35" s="6">
        <f t="shared" si="2"/>
        <v>26.895000000000003</v>
      </c>
      <c r="J35" s="6">
        <f t="shared" si="1"/>
        <v>2.036</v>
      </c>
      <c r="K35" s="6">
        <f>IFERROR(INDEX(carbon!$A$14:$J$48,MATCH(data!$E35,carbon!$A$14:$A$48,0),2), "NA")</f>
        <v>78.81</v>
      </c>
      <c r="L35" s="6">
        <f>IFERROR(INDEX(carbon!$A$14:$J$48,MATCH(data!$E35,carbon!$A$14:$A$48,0),4), "NA")</f>
        <v>28.05</v>
      </c>
      <c r="M35" s="6">
        <f>IFERROR(INDEX(carbon!$A$14:$J$48,MATCH(data!$E35,carbon!$A$14:$A$48,0),6), "NA")</f>
        <v>363.62</v>
      </c>
      <c r="N35" s="6">
        <f>IFERROR(INDEX(carbon!$A$14:$J$48,MATCH(data!$E35,carbon!$A$14:$A$48,0),8), "NA")</f>
        <v>2.1779999999999999</v>
      </c>
    </row>
    <row r="36" spans="1:14" ht="15">
      <c r="A36" s="4" t="s">
        <v>14</v>
      </c>
      <c r="B36" s="4" t="s">
        <v>77</v>
      </c>
      <c r="C36" s="1" t="s">
        <v>24</v>
      </c>
      <c r="D36" s="1" t="s">
        <v>16</v>
      </c>
      <c r="E36" s="1" t="s">
        <v>82</v>
      </c>
      <c r="F36" s="3">
        <v>0.496</v>
      </c>
      <c r="G36" s="3">
        <v>9.4499999999999993</v>
      </c>
      <c r="H36" s="3">
        <v>1.6850000000000001</v>
      </c>
      <c r="I36" s="6">
        <f t="shared" si="2"/>
        <v>8.9539999999999988</v>
      </c>
      <c r="J36" s="6">
        <f t="shared" si="1"/>
        <v>1.1890000000000001</v>
      </c>
      <c r="K36" s="6">
        <f>IFERROR(INDEX(carbon!$A$14:$J$48,MATCH(data!$E36,carbon!$A$14:$A$48,0),2), "NA")</f>
        <v>70.709999999999994</v>
      </c>
      <c r="L36" s="6">
        <f>IFERROR(INDEX(carbon!$A$14:$J$48,MATCH(data!$E36,carbon!$A$14:$A$48,0),4), "NA")</f>
        <v>17.399999999999999</v>
      </c>
      <c r="M36" s="6">
        <f>IFERROR(INDEX(carbon!$A$14:$J$48,MATCH(data!$E36,carbon!$A$14:$A$48,0),6), "NA")</f>
        <v>341.9</v>
      </c>
      <c r="N36" s="6">
        <f>IFERROR(INDEX(carbon!$A$14:$J$48,MATCH(data!$E36,carbon!$A$14:$A$48,0),8), "NA")</f>
        <v>4.41</v>
      </c>
    </row>
    <row r="37" spans="1:14" ht="15">
      <c r="A37" s="4" t="s">
        <v>14</v>
      </c>
      <c r="B37" s="4" t="s">
        <v>77</v>
      </c>
      <c r="C37" s="1" t="s">
        <v>26</v>
      </c>
      <c r="D37" s="1" t="s">
        <v>16</v>
      </c>
      <c r="E37" s="1" t="s">
        <v>83</v>
      </c>
      <c r="F37" s="3">
        <v>1.032</v>
      </c>
      <c r="G37" s="3">
        <v>18.178000000000001</v>
      </c>
      <c r="H37" s="3">
        <v>2.8479999999999999</v>
      </c>
      <c r="I37" s="6">
        <f t="shared" si="2"/>
        <v>17.146000000000001</v>
      </c>
      <c r="J37" s="6">
        <f t="shared" si="1"/>
        <v>1.8159999999999998</v>
      </c>
      <c r="K37" s="6">
        <f>IFERROR(INDEX(carbon!$A$14:$J$48,MATCH(data!$E37,carbon!$A$14:$A$48,0),2), "NA")</f>
        <v>73.91</v>
      </c>
      <c r="L37" s="6">
        <f>IFERROR(INDEX(carbon!$A$14:$J$48,MATCH(data!$E37,carbon!$A$14:$A$48,0),4), "NA")</f>
        <v>24.79</v>
      </c>
      <c r="M37" s="6">
        <f>IFERROR(INDEX(carbon!$A$14:$J$48,MATCH(data!$E37,carbon!$A$14:$A$48,0),6), "NA")</f>
        <v>365.95</v>
      </c>
      <c r="N37" s="6">
        <f>IFERROR(INDEX(carbon!$A$14:$J$48,MATCH(data!$E37,carbon!$A$14:$A$48,0),8), "NA")</f>
        <v>3.41</v>
      </c>
    </row>
    <row r="38" spans="1:14" ht="15">
      <c r="A38" s="4" t="s">
        <v>14</v>
      </c>
      <c r="B38" s="4" t="s">
        <v>77</v>
      </c>
      <c r="C38" s="1" t="s">
        <v>28</v>
      </c>
      <c r="D38" s="1" t="s">
        <v>16</v>
      </c>
      <c r="E38" s="1" t="s">
        <v>84</v>
      </c>
      <c r="F38" s="3">
        <v>0.93500000000000005</v>
      </c>
      <c r="G38" s="3">
        <v>28.66</v>
      </c>
      <c r="H38" s="3">
        <v>3.6970000000000001</v>
      </c>
      <c r="I38" s="6">
        <f t="shared" si="2"/>
        <v>27.725000000000001</v>
      </c>
      <c r="J38" s="6">
        <f t="shared" si="1"/>
        <v>2.762</v>
      </c>
      <c r="K38" s="6">
        <f>IFERROR(INDEX(carbon!$A$14:$J$48,MATCH(data!$E38,carbon!$A$14:$A$48,0),2), "NA")</f>
        <v>74.569999999999993</v>
      </c>
      <c r="L38" s="6">
        <f>IFERROR(INDEX(carbon!$A$14:$J$48,MATCH(data!$E38,carbon!$A$14:$A$48,0),4), "NA")</f>
        <v>23.16</v>
      </c>
      <c r="M38" s="6">
        <f>IFERROR(INDEX(carbon!$A$14:$J$48,MATCH(data!$E38,carbon!$A$14:$A$48,0),6), "NA")</f>
        <v>302.08</v>
      </c>
      <c r="N38" s="6">
        <f>IFERROR(INDEX(carbon!$A$14:$J$48,MATCH(data!$E38,carbon!$A$14:$A$48,0),8), "NA")</f>
        <v>2.8479999999999999</v>
      </c>
    </row>
    <row r="39" spans="1:14" ht="15">
      <c r="A39" s="4" t="s">
        <v>14</v>
      </c>
      <c r="B39" s="4" t="s">
        <v>77</v>
      </c>
      <c r="C39" s="1" t="s">
        <v>30</v>
      </c>
      <c r="D39" s="1" t="s">
        <v>16</v>
      </c>
      <c r="E39" s="1" t="s">
        <v>85</v>
      </c>
      <c r="F39" s="3">
        <v>1.2929999999999999</v>
      </c>
      <c r="G39" s="3">
        <v>15.39</v>
      </c>
      <c r="H39" s="3">
        <v>2.77</v>
      </c>
      <c r="I39" s="6">
        <f t="shared" si="2"/>
        <v>14.097000000000001</v>
      </c>
      <c r="J39" s="6">
        <f t="shared" si="1"/>
        <v>1.4770000000000001</v>
      </c>
      <c r="K39" s="6">
        <f>IFERROR(INDEX(carbon!$A$14:$J$48,MATCH(data!$E39,carbon!$A$14:$A$48,0),2), "NA")</f>
        <v>78.72</v>
      </c>
      <c r="L39" s="6">
        <f>IFERROR(INDEX(carbon!$A$14:$J$48,MATCH(data!$E39,carbon!$A$14:$A$48,0),4), "NA")</f>
        <v>25.66</v>
      </c>
      <c r="M39" s="6">
        <f>IFERROR(INDEX(carbon!$A$14:$J$48,MATCH(data!$E39,carbon!$A$14:$A$48,0),6), "NA")</f>
        <v>463.97</v>
      </c>
      <c r="N39" s="6">
        <f>IFERROR(INDEX(carbon!$A$14:$J$48,MATCH(data!$E39,carbon!$A$14:$A$48,0),8), "NA")</f>
        <v>4.4039999999999999</v>
      </c>
    </row>
    <row r="40" spans="1:14" ht="15">
      <c r="A40" s="4" t="s">
        <v>14</v>
      </c>
      <c r="B40" s="4" t="s">
        <v>77</v>
      </c>
      <c r="C40" s="1" t="s">
        <v>32</v>
      </c>
      <c r="D40" s="1" t="s">
        <v>16</v>
      </c>
      <c r="E40" s="1" t="s">
        <v>86</v>
      </c>
      <c r="F40" s="3">
        <v>0.51100000000000001</v>
      </c>
      <c r="G40" s="3">
        <v>35.79</v>
      </c>
      <c r="H40" s="3">
        <v>3.625</v>
      </c>
      <c r="I40" s="6">
        <f t="shared" si="2"/>
        <v>35.278999999999996</v>
      </c>
      <c r="J40" s="6">
        <f t="shared" si="1"/>
        <v>3.1139999999999999</v>
      </c>
      <c r="K40" s="6">
        <f>IFERROR(INDEX(carbon!$A$14:$J$48,MATCH(data!$E40,carbon!$A$14:$A$48,0),2), "NA")</f>
        <v>72.12</v>
      </c>
      <c r="L40" s="6">
        <f>IFERROR(INDEX(carbon!$A$14:$J$48,MATCH(data!$E40,carbon!$A$14:$A$48,0),4), "NA")</f>
        <v>24.95</v>
      </c>
      <c r="M40" s="6">
        <f>IFERROR(INDEX(carbon!$A$14:$J$48,MATCH(data!$E40,carbon!$A$14:$A$48,0),6), "NA")</f>
        <v>725.53</v>
      </c>
      <c r="N40" s="6">
        <f>IFERROR(INDEX(carbon!$A$14:$J$48,MATCH(data!$E40,carbon!$A$14:$A$48,0),8), "NA")</f>
        <v>5.9690000000000003</v>
      </c>
    </row>
    <row r="41" spans="1:14" ht="15">
      <c r="A41" s="4" t="s">
        <v>14</v>
      </c>
      <c r="B41" s="4" t="s">
        <v>77</v>
      </c>
      <c r="C41" s="1" t="s">
        <v>34</v>
      </c>
      <c r="D41" s="1" t="s">
        <v>16</v>
      </c>
      <c r="E41" s="1" t="s">
        <v>87</v>
      </c>
      <c r="F41" s="3">
        <v>0.81299999999999994</v>
      </c>
      <c r="G41" s="3">
        <v>10.93</v>
      </c>
      <c r="H41" s="3">
        <v>2.101</v>
      </c>
      <c r="I41" s="6">
        <f t="shared" si="2"/>
        <v>10.116999999999999</v>
      </c>
      <c r="J41" s="6">
        <f t="shared" si="1"/>
        <v>1.288</v>
      </c>
      <c r="K41" s="6" t="str">
        <f>IFERROR(INDEX(carbon!$A$14:$J$48,MATCH(data!$E41,carbon!$A$14:$A$48,0),2), "NA")</f>
        <v>NA</v>
      </c>
      <c r="L41" s="6" t="str">
        <f>IFERROR(INDEX(carbon!$A$14:$J$48,MATCH(data!$E41,carbon!$A$14:$A$48,0),4), "NA")</f>
        <v>NA</v>
      </c>
      <c r="M41" s="6" t="str">
        <f>IFERROR(INDEX(carbon!$A$14:$J$48,MATCH(data!$E41,carbon!$A$14:$A$48,0),6), "NA")</f>
        <v>NA</v>
      </c>
      <c r="N41" s="6" t="str">
        <f>IFERROR(INDEX(carbon!$A$14:$J$48,MATCH(data!$E41,carbon!$A$14:$A$48,0),8), "NA")</f>
        <v>NA</v>
      </c>
    </row>
    <row r="42" spans="1:14" ht="15">
      <c r="A42" s="4" t="s">
        <v>14</v>
      </c>
      <c r="B42" s="4" t="s">
        <v>77</v>
      </c>
      <c r="C42" s="1" t="s">
        <v>36</v>
      </c>
      <c r="D42" s="1" t="s">
        <v>16</v>
      </c>
      <c r="E42" s="1" t="s">
        <v>88</v>
      </c>
      <c r="F42" s="3">
        <v>0.65600000000000003</v>
      </c>
      <c r="G42" s="3">
        <v>8.8650000000000002</v>
      </c>
      <c r="H42" s="3">
        <v>1.4279999999999999</v>
      </c>
      <c r="I42" s="6">
        <f t="shared" si="2"/>
        <v>8.2089999999999996</v>
      </c>
      <c r="J42" s="6">
        <f t="shared" si="1"/>
        <v>0.77199999999999991</v>
      </c>
      <c r="K42" s="6" t="str">
        <f>IFERROR(INDEX(carbon!$A$14:$J$48,MATCH(data!$E42,carbon!$A$14:$A$48,0),2), "NA")</f>
        <v>NA</v>
      </c>
      <c r="L42" s="6" t="str">
        <f>IFERROR(INDEX(carbon!$A$14:$J$48,MATCH(data!$E42,carbon!$A$14:$A$48,0),4), "NA")</f>
        <v>NA</v>
      </c>
      <c r="M42" s="6" t="str">
        <f>IFERROR(INDEX(carbon!$A$14:$J$48,MATCH(data!$E42,carbon!$A$14:$A$48,0),6), "NA")</f>
        <v>NA</v>
      </c>
      <c r="N42" s="6" t="str">
        <f>IFERROR(INDEX(carbon!$A$14:$J$48,MATCH(data!$E42,carbon!$A$14:$A$48,0),8), "NA")</f>
        <v>NA</v>
      </c>
    </row>
    <row r="43" spans="1:14" ht="15">
      <c r="A43" s="4" t="s">
        <v>14</v>
      </c>
      <c r="B43" s="4" t="s">
        <v>77</v>
      </c>
      <c r="C43" s="1" t="s">
        <v>38</v>
      </c>
      <c r="D43" s="1" t="s">
        <v>16</v>
      </c>
      <c r="E43" s="1" t="s">
        <v>89</v>
      </c>
      <c r="F43" s="3">
        <v>0.54400000000000004</v>
      </c>
      <c r="G43" s="3">
        <v>13.91</v>
      </c>
      <c r="H43" s="3">
        <v>2.0920000000000001</v>
      </c>
      <c r="I43" s="6">
        <f t="shared" si="2"/>
        <v>13.366</v>
      </c>
      <c r="J43" s="6">
        <f t="shared" si="1"/>
        <v>1.548</v>
      </c>
      <c r="K43" s="6">
        <f>IFERROR(INDEX(carbon!$A$14:$J$48,MATCH(data!$E43,carbon!$A$14:$A$48,0),2), "NA")</f>
        <v>78.709999999999994</v>
      </c>
      <c r="L43" s="6">
        <f>IFERROR(INDEX(carbon!$A$14:$J$48,MATCH(data!$E43,carbon!$A$14:$A$48,0),4), "NA")</f>
        <v>13.23</v>
      </c>
      <c r="M43" s="6">
        <f>IFERROR(INDEX(carbon!$A$14:$J$48,MATCH(data!$E43,carbon!$A$14:$A$48,0),6), "NA")</f>
        <v>344.57</v>
      </c>
      <c r="N43" s="6">
        <f>IFERROR(INDEX(carbon!$A$14:$J$48,MATCH(data!$E43,carbon!$A$14:$A$48,0),8), "NA")</f>
        <v>2.6819999999999999</v>
      </c>
    </row>
    <row r="44" spans="1:14" ht="15">
      <c r="A44" s="4" t="s">
        <v>14</v>
      </c>
      <c r="B44" s="4" t="s">
        <v>77</v>
      </c>
      <c r="C44" s="1" t="s">
        <v>40</v>
      </c>
      <c r="D44" s="1" t="s">
        <v>16</v>
      </c>
      <c r="E44" s="1" t="s">
        <v>90</v>
      </c>
      <c r="F44" s="3">
        <v>0.60299999999999998</v>
      </c>
      <c r="G44" s="3">
        <v>12.163</v>
      </c>
      <c r="H44" s="3">
        <v>2.214</v>
      </c>
      <c r="I44" s="6">
        <f t="shared" si="2"/>
        <v>11.56</v>
      </c>
      <c r="J44" s="6">
        <f t="shared" si="1"/>
        <v>1.611</v>
      </c>
      <c r="K44" s="6" t="str">
        <f>IFERROR(INDEX(carbon!$A$14:$J$48,MATCH(data!$E44,carbon!$A$14:$A$48,0),2), "NA")</f>
        <v>NA</v>
      </c>
      <c r="L44" s="6" t="str">
        <f>IFERROR(INDEX(carbon!$A$14:$J$48,MATCH(data!$E44,carbon!$A$14:$A$48,0),4), "NA")</f>
        <v>NA</v>
      </c>
      <c r="M44" s="6" t="str">
        <f>IFERROR(INDEX(carbon!$A$14:$J$48,MATCH(data!$E44,carbon!$A$14:$A$48,0),6), "NA")</f>
        <v>NA</v>
      </c>
      <c r="N44" s="6" t="str">
        <f>IFERROR(INDEX(carbon!$A$14:$J$48,MATCH(data!$E44,carbon!$A$14:$A$48,0),8), "NA")</f>
        <v>NA</v>
      </c>
    </row>
    <row r="45" spans="1:14" ht="15">
      <c r="A45" s="4" t="s">
        <v>14</v>
      </c>
      <c r="B45" s="4" t="s">
        <v>77</v>
      </c>
      <c r="C45" s="1" t="s">
        <v>42</v>
      </c>
      <c r="D45" s="1" t="s">
        <v>16</v>
      </c>
      <c r="E45" s="1" t="s">
        <v>91</v>
      </c>
      <c r="F45" s="3">
        <v>0.83299999999999996</v>
      </c>
      <c r="G45" s="3">
        <v>5.1100000000000003</v>
      </c>
      <c r="H45" s="3">
        <v>1.2350000000000001</v>
      </c>
      <c r="I45" s="6">
        <f t="shared" si="2"/>
        <v>4.2770000000000001</v>
      </c>
      <c r="J45" s="6">
        <f t="shared" si="1"/>
        <v>0.40200000000000014</v>
      </c>
      <c r="K45" s="6" t="str">
        <f>IFERROR(INDEX(carbon!$A$14:$J$48,MATCH(data!$E45,carbon!$A$14:$A$48,0),2), "NA")</f>
        <v>NA</v>
      </c>
      <c r="L45" s="6" t="str">
        <f>IFERROR(INDEX(carbon!$A$14:$J$48,MATCH(data!$E45,carbon!$A$14:$A$48,0),4), "NA")</f>
        <v>NA</v>
      </c>
      <c r="M45" s="6" t="str">
        <f>IFERROR(INDEX(carbon!$A$14:$J$48,MATCH(data!$E45,carbon!$A$14:$A$48,0),6), "NA")</f>
        <v>NA</v>
      </c>
      <c r="N45" s="6" t="str">
        <f>IFERROR(INDEX(carbon!$A$14:$J$48,MATCH(data!$E45,carbon!$A$14:$A$48,0),8), "NA")</f>
        <v>NA</v>
      </c>
    </row>
    <row r="46" spans="1:14" ht="15">
      <c r="A46" s="4" t="s">
        <v>14</v>
      </c>
      <c r="B46" s="4" t="s">
        <v>77</v>
      </c>
      <c r="C46" s="1" t="s">
        <v>44</v>
      </c>
      <c r="D46" s="1" t="s">
        <v>16</v>
      </c>
      <c r="E46" s="1" t="s">
        <v>92</v>
      </c>
      <c r="F46" s="3">
        <v>1.179</v>
      </c>
      <c r="G46" s="3">
        <v>6.0979999999999999</v>
      </c>
      <c r="H46" s="3">
        <v>2.1360000000000001</v>
      </c>
      <c r="I46" s="6">
        <f t="shared" si="2"/>
        <v>4.9189999999999996</v>
      </c>
      <c r="J46" s="6">
        <f t="shared" si="1"/>
        <v>0.95700000000000007</v>
      </c>
      <c r="K46" s="6">
        <f>IFERROR(INDEX(carbon!$A$14:$J$48,MATCH(data!$E46,carbon!$A$14:$A$48,0),2), "NA")</f>
        <v>77.930000000000007</v>
      </c>
      <c r="L46" s="6">
        <f>IFERROR(INDEX(carbon!$A$14:$J$48,MATCH(data!$E46,carbon!$A$14:$A$48,0),4), "NA")</f>
        <v>9.7370000000000001</v>
      </c>
      <c r="M46" s="6">
        <f>IFERROR(INDEX(carbon!$A$14:$J$48,MATCH(data!$E46,carbon!$A$14:$A$48,0),6), "NA")</f>
        <v>375.58</v>
      </c>
      <c r="N46" s="6">
        <f>IFERROR(INDEX(carbon!$A$14:$J$48,MATCH(data!$E46,carbon!$A$14:$A$48,0),8), "NA")</f>
        <v>3.6509999999999998</v>
      </c>
    </row>
    <row r="47" spans="1:14" ht="15">
      <c r="A47" s="4" t="s">
        <v>14</v>
      </c>
      <c r="B47" s="4" t="s">
        <v>77</v>
      </c>
      <c r="C47" s="1" t="s">
        <v>46</v>
      </c>
      <c r="D47" s="1" t="s">
        <v>16</v>
      </c>
      <c r="E47" s="1" t="s">
        <v>93</v>
      </c>
      <c r="F47" s="3">
        <v>1.17</v>
      </c>
      <c r="G47" s="3">
        <v>15.04</v>
      </c>
      <c r="H47" s="3">
        <v>2.9159999999999999</v>
      </c>
      <c r="I47" s="6">
        <f t="shared" si="2"/>
        <v>13.87</v>
      </c>
      <c r="J47" s="6">
        <f t="shared" si="1"/>
        <v>1.746</v>
      </c>
      <c r="K47" s="6">
        <f>IFERROR(INDEX(carbon!$A$14:$J$48,MATCH(data!$E47,carbon!$A$14:$A$48,0),2), "NA")</f>
        <v>70.400000000000006</v>
      </c>
      <c r="L47" s="6">
        <f>IFERROR(INDEX(carbon!$A$14:$J$48,MATCH(data!$E47,carbon!$A$14:$A$48,0),4), "NA")</f>
        <v>15.9</v>
      </c>
      <c r="M47" s="6">
        <f>IFERROR(INDEX(carbon!$A$14:$J$48,MATCH(data!$E47,carbon!$A$14:$A$48,0),6), "NA")</f>
        <v>456.31</v>
      </c>
      <c r="N47" s="6">
        <f>IFERROR(INDEX(carbon!$A$14:$J$48,MATCH(data!$E47,carbon!$A$14:$A$48,0),8), "NA")</f>
        <v>4.1790000000000003</v>
      </c>
    </row>
    <row r="48" spans="1:14" ht="15">
      <c r="A48" s="4" t="s">
        <v>14</v>
      </c>
      <c r="B48" s="4" t="s">
        <v>77</v>
      </c>
      <c r="C48" s="1" t="s">
        <v>48</v>
      </c>
      <c r="D48" s="1" t="s">
        <v>16</v>
      </c>
      <c r="E48" s="1" t="s">
        <v>94</v>
      </c>
      <c r="F48" s="3">
        <v>1.2689999999999999</v>
      </c>
      <c r="G48" s="3">
        <v>14.196999999999999</v>
      </c>
      <c r="H48" s="3">
        <v>3.0369999999999999</v>
      </c>
      <c r="I48" s="6">
        <f t="shared" si="2"/>
        <v>12.927999999999999</v>
      </c>
      <c r="J48" s="6">
        <f t="shared" si="1"/>
        <v>1.768</v>
      </c>
      <c r="K48" s="6">
        <f>IFERROR(INDEX(carbon!$A$14:$J$48,MATCH(data!$E48,carbon!$A$14:$A$48,0),2), "NA")</f>
        <v>75.5</v>
      </c>
      <c r="L48" s="6">
        <f>IFERROR(INDEX(carbon!$A$14:$J$48,MATCH(data!$E48,carbon!$A$14:$A$48,0),4), "NA")</f>
        <v>15.92</v>
      </c>
      <c r="M48" s="6">
        <f>IFERROR(INDEX(carbon!$A$14:$J$48,MATCH(data!$E48,carbon!$A$14:$A$48,0),6), "NA")</f>
        <v>475.63</v>
      </c>
      <c r="N48" s="6">
        <f>IFERROR(INDEX(carbon!$A$14:$J$48,MATCH(data!$E48,carbon!$A$14:$A$48,0),8), "NA")</f>
        <v>2.6019999999999999</v>
      </c>
    </row>
    <row r="49" spans="1:14" ht="15">
      <c r="A49" s="4" t="s">
        <v>14</v>
      </c>
      <c r="B49" s="4" t="s">
        <v>77</v>
      </c>
      <c r="C49" s="1" t="s">
        <v>50</v>
      </c>
      <c r="D49" s="1" t="s">
        <v>16</v>
      </c>
      <c r="E49" s="1" t="s">
        <v>95</v>
      </c>
      <c r="F49" s="3">
        <v>0</v>
      </c>
      <c r="G49" s="3">
        <v>0</v>
      </c>
      <c r="H49" s="3">
        <v>0</v>
      </c>
      <c r="I49" s="3">
        <v>0</v>
      </c>
      <c r="J49" s="6">
        <f t="shared" si="1"/>
        <v>0</v>
      </c>
      <c r="K49" s="6" t="str">
        <f>IFERROR(INDEX(carbon!$A$14:$J$48,MATCH(data!$E49,carbon!$A$14:$A$48,0),2), "NA")</f>
        <v>NA</v>
      </c>
      <c r="L49" s="6" t="str">
        <f>IFERROR(INDEX(carbon!$A$14:$J$48,MATCH(data!$E49,carbon!$A$14:$A$48,0),4), "NA")</f>
        <v>NA</v>
      </c>
      <c r="M49" s="6" t="str">
        <f>IFERROR(INDEX(carbon!$A$14:$J$48,MATCH(data!$E49,carbon!$A$14:$A$48,0),6), "NA")</f>
        <v>NA</v>
      </c>
      <c r="N49" s="6" t="str">
        <f>IFERROR(INDEX(carbon!$A$14:$J$48,MATCH(data!$E49,carbon!$A$14:$A$48,0),8), "NA")</f>
        <v>NA</v>
      </c>
    </row>
    <row r="50" spans="1:14" ht="15">
      <c r="A50" s="4" t="s">
        <v>14</v>
      </c>
      <c r="B50" s="4" t="s">
        <v>77</v>
      </c>
      <c r="C50" s="1" t="s">
        <v>52</v>
      </c>
      <c r="D50" s="1" t="s">
        <v>16</v>
      </c>
      <c r="E50" s="1" t="s">
        <v>96</v>
      </c>
      <c r="F50" s="3">
        <v>0</v>
      </c>
      <c r="G50" s="3">
        <v>0</v>
      </c>
      <c r="H50" s="3">
        <v>0</v>
      </c>
      <c r="I50" s="3">
        <v>0</v>
      </c>
      <c r="J50" s="6">
        <f t="shared" si="1"/>
        <v>0</v>
      </c>
      <c r="K50" s="6" t="str">
        <f>IFERROR(INDEX(carbon!$A$14:$J$48,MATCH(data!$E50,carbon!$A$14:$A$48,0),2), "NA")</f>
        <v>NA</v>
      </c>
      <c r="L50" s="6" t="str">
        <f>IFERROR(INDEX(carbon!$A$14:$J$48,MATCH(data!$E50,carbon!$A$14:$A$48,0),4), "NA")</f>
        <v>NA</v>
      </c>
      <c r="M50" s="6" t="str">
        <f>IFERROR(INDEX(carbon!$A$14:$J$48,MATCH(data!$E50,carbon!$A$14:$A$48,0),6), "NA")</f>
        <v>NA</v>
      </c>
      <c r="N50" s="6" t="str">
        <f>IFERROR(INDEX(carbon!$A$14:$J$48,MATCH(data!$E50,carbon!$A$14:$A$48,0),8), "NA")</f>
        <v>NA</v>
      </c>
    </row>
    <row r="51" spans="1:14" ht="15">
      <c r="A51" s="4" t="s">
        <v>14</v>
      </c>
      <c r="B51" s="4" t="s">
        <v>77</v>
      </c>
      <c r="C51" s="1" t="s">
        <v>54</v>
      </c>
      <c r="D51" s="1" t="s">
        <v>16</v>
      </c>
      <c r="E51" s="1" t="s">
        <v>97</v>
      </c>
      <c r="F51" s="3">
        <v>0</v>
      </c>
      <c r="G51" s="3">
        <v>0</v>
      </c>
      <c r="H51" s="3">
        <v>0</v>
      </c>
      <c r="I51" s="3">
        <v>0</v>
      </c>
      <c r="J51" s="6">
        <f t="shared" si="1"/>
        <v>0</v>
      </c>
      <c r="K51" s="6" t="str">
        <f>IFERROR(INDEX(carbon!$A$14:$J$48,MATCH(data!$E51,carbon!$A$14:$A$48,0),2), "NA")</f>
        <v>NA</v>
      </c>
      <c r="L51" s="6" t="str">
        <f>IFERROR(INDEX(carbon!$A$14:$J$48,MATCH(data!$E51,carbon!$A$14:$A$48,0),4), "NA")</f>
        <v>NA</v>
      </c>
      <c r="M51" s="6" t="str">
        <f>IFERROR(INDEX(carbon!$A$14:$J$48,MATCH(data!$E51,carbon!$A$14:$A$48,0),6), "NA")</f>
        <v>NA</v>
      </c>
      <c r="N51" s="6" t="str">
        <f>IFERROR(INDEX(carbon!$A$14:$J$48,MATCH(data!$E51,carbon!$A$14:$A$48,0),8), "NA")</f>
        <v>NA</v>
      </c>
    </row>
    <row r="52" spans="1:14" ht="15">
      <c r="A52" s="4" t="s">
        <v>14</v>
      </c>
      <c r="B52" s="4" t="s">
        <v>77</v>
      </c>
      <c r="C52" s="1" t="s">
        <v>57</v>
      </c>
      <c r="D52" s="1" t="s">
        <v>16</v>
      </c>
      <c r="E52" s="1" t="s">
        <v>98</v>
      </c>
      <c r="F52" s="3">
        <v>0</v>
      </c>
      <c r="G52" s="3">
        <v>0</v>
      </c>
      <c r="H52" s="3">
        <v>0</v>
      </c>
      <c r="I52" s="3">
        <v>0</v>
      </c>
      <c r="J52" s="6">
        <f t="shared" si="1"/>
        <v>0</v>
      </c>
      <c r="K52" s="6" t="str">
        <f>IFERROR(INDEX(carbon!$A$14:$J$48,MATCH(data!$E52,carbon!$A$14:$A$48,0),2), "NA")</f>
        <v>NA</v>
      </c>
      <c r="L52" s="6" t="str">
        <f>IFERROR(INDEX(carbon!$A$14:$J$48,MATCH(data!$E52,carbon!$A$14:$A$48,0),4), "NA")</f>
        <v>NA</v>
      </c>
      <c r="M52" s="6" t="str">
        <f>IFERROR(INDEX(carbon!$A$14:$J$48,MATCH(data!$E52,carbon!$A$14:$A$48,0),6), "NA")</f>
        <v>NA</v>
      </c>
      <c r="N52" s="6" t="str">
        <f>IFERROR(INDEX(carbon!$A$14:$J$48,MATCH(data!$E52,carbon!$A$14:$A$48,0),8), "NA")</f>
        <v>NA</v>
      </c>
    </row>
    <row r="53" spans="1:14" ht="15">
      <c r="A53" s="4" t="s">
        <v>14</v>
      </c>
      <c r="B53" s="4" t="s">
        <v>77</v>
      </c>
      <c r="C53" s="1" t="s">
        <v>59</v>
      </c>
      <c r="D53" s="1" t="s">
        <v>16</v>
      </c>
      <c r="E53" s="1" t="s">
        <v>99</v>
      </c>
      <c r="F53" s="3">
        <v>0</v>
      </c>
      <c r="G53" s="3">
        <v>0</v>
      </c>
      <c r="H53" s="3">
        <v>0</v>
      </c>
      <c r="I53" s="3">
        <v>0</v>
      </c>
      <c r="J53" s="6">
        <f t="shared" si="1"/>
        <v>0</v>
      </c>
      <c r="K53" s="6" t="str">
        <f>IFERROR(INDEX(carbon!$A$14:$J$48,MATCH(data!$E53,carbon!$A$14:$A$48,0),2), "NA")</f>
        <v>NA</v>
      </c>
      <c r="L53" s="6" t="str">
        <f>IFERROR(INDEX(carbon!$A$14:$J$48,MATCH(data!$E53,carbon!$A$14:$A$48,0),4), "NA")</f>
        <v>NA</v>
      </c>
      <c r="M53" s="6" t="str">
        <f>IFERROR(INDEX(carbon!$A$14:$J$48,MATCH(data!$E53,carbon!$A$14:$A$48,0),6), "NA")</f>
        <v>NA</v>
      </c>
      <c r="N53" s="6" t="str">
        <f>IFERROR(INDEX(carbon!$A$14:$J$48,MATCH(data!$E53,carbon!$A$14:$A$48,0),8), "NA")</f>
        <v>NA</v>
      </c>
    </row>
    <row r="54" spans="1:14" ht="15">
      <c r="A54" s="4" t="s">
        <v>14</v>
      </c>
      <c r="B54" s="4" t="s">
        <v>77</v>
      </c>
      <c r="C54" s="1" t="s">
        <v>61</v>
      </c>
      <c r="D54" s="1" t="s">
        <v>16</v>
      </c>
      <c r="E54" s="1" t="s">
        <v>100</v>
      </c>
      <c r="F54" s="3">
        <v>0</v>
      </c>
      <c r="G54" s="3">
        <v>0</v>
      </c>
      <c r="H54" s="3">
        <v>0</v>
      </c>
      <c r="I54" s="3">
        <v>0</v>
      </c>
      <c r="J54" s="6">
        <f t="shared" si="1"/>
        <v>0</v>
      </c>
      <c r="K54" s="6" t="str">
        <f>IFERROR(INDEX(carbon!$A$14:$J$48,MATCH(data!$E54,carbon!$A$14:$A$48,0),2), "NA")</f>
        <v>NA</v>
      </c>
      <c r="L54" s="6" t="str">
        <f>IFERROR(INDEX(carbon!$A$14:$J$48,MATCH(data!$E54,carbon!$A$14:$A$48,0),4), "NA")</f>
        <v>NA</v>
      </c>
      <c r="M54" s="6" t="str">
        <f>IFERROR(INDEX(carbon!$A$14:$J$48,MATCH(data!$E54,carbon!$A$14:$A$48,0),6), "NA")</f>
        <v>NA</v>
      </c>
      <c r="N54" s="6" t="str">
        <f>IFERROR(INDEX(carbon!$A$14:$J$48,MATCH(data!$E54,carbon!$A$14:$A$48,0),8), "NA")</f>
        <v>NA</v>
      </c>
    </row>
    <row r="55" spans="1:14" ht="15">
      <c r="A55" s="4" t="s">
        <v>14</v>
      </c>
      <c r="B55" s="4" t="s">
        <v>77</v>
      </c>
      <c r="C55" s="1" t="s">
        <v>63</v>
      </c>
      <c r="D55" s="1" t="s">
        <v>16</v>
      </c>
      <c r="E55" s="1" t="s">
        <v>101</v>
      </c>
      <c r="F55" s="3">
        <v>0</v>
      </c>
      <c r="G55" s="3">
        <v>0</v>
      </c>
      <c r="H55" s="3">
        <v>0</v>
      </c>
      <c r="I55" s="3">
        <v>0</v>
      </c>
      <c r="J55" s="6">
        <f t="shared" si="1"/>
        <v>0</v>
      </c>
      <c r="K55" s="6" t="str">
        <f>IFERROR(INDEX(carbon!$A$14:$J$48,MATCH(data!$E55,carbon!$A$14:$A$48,0),2), "NA")</f>
        <v>NA</v>
      </c>
      <c r="L55" s="6" t="str">
        <f>IFERROR(INDEX(carbon!$A$14:$J$48,MATCH(data!$E55,carbon!$A$14:$A$48,0),4), "NA")</f>
        <v>NA</v>
      </c>
      <c r="M55" s="6" t="str">
        <f>IFERROR(INDEX(carbon!$A$14:$J$48,MATCH(data!$E55,carbon!$A$14:$A$48,0),6), "NA")</f>
        <v>NA</v>
      </c>
      <c r="N55" s="6" t="str">
        <f>IFERROR(INDEX(carbon!$A$14:$J$48,MATCH(data!$E55,carbon!$A$14:$A$48,0),8), "NA")</f>
        <v>NA</v>
      </c>
    </row>
    <row r="56" spans="1:14" ht="15">
      <c r="A56" s="4" t="s">
        <v>14</v>
      </c>
      <c r="B56" s="4" t="s">
        <v>77</v>
      </c>
      <c r="C56" s="1" t="s">
        <v>65</v>
      </c>
      <c r="D56" s="1" t="s">
        <v>16</v>
      </c>
      <c r="E56" s="1" t="s">
        <v>102</v>
      </c>
      <c r="F56" s="3">
        <v>0</v>
      </c>
      <c r="G56" s="3">
        <v>0</v>
      </c>
      <c r="H56" s="3">
        <v>0</v>
      </c>
      <c r="I56" s="3">
        <v>0</v>
      </c>
      <c r="J56" s="6">
        <f t="shared" si="1"/>
        <v>0</v>
      </c>
      <c r="K56" s="6" t="str">
        <f>IFERROR(INDEX(carbon!$A$14:$J$48,MATCH(data!$E56,carbon!$A$14:$A$48,0),2), "NA")</f>
        <v>NA</v>
      </c>
      <c r="L56" s="6" t="str">
        <f>IFERROR(INDEX(carbon!$A$14:$J$48,MATCH(data!$E56,carbon!$A$14:$A$48,0),4), "NA")</f>
        <v>NA</v>
      </c>
      <c r="M56" s="6" t="str">
        <f>IFERROR(INDEX(carbon!$A$14:$J$48,MATCH(data!$E56,carbon!$A$14:$A$48,0),6), "NA")</f>
        <v>NA</v>
      </c>
      <c r="N56" s="6" t="str">
        <f>IFERROR(INDEX(carbon!$A$14:$J$48,MATCH(data!$E56,carbon!$A$14:$A$48,0),8), "NA")</f>
        <v>NA</v>
      </c>
    </row>
    <row r="57" spans="1:14" ht="15">
      <c r="A57" s="4" t="s">
        <v>14</v>
      </c>
      <c r="B57" s="4" t="s">
        <v>77</v>
      </c>
      <c r="C57" s="1" t="s">
        <v>67</v>
      </c>
      <c r="D57" s="1" t="s">
        <v>16</v>
      </c>
      <c r="E57" s="1" t="s">
        <v>103</v>
      </c>
      <c r="F57" s="3">
        <v>0</v>
      </c>
      <c r="G57" s="3">
        <v>0</v>
      </c>
      <c r="H57" s="3">
        <v>0</v>
      </c>
      <c r="I57" s="3">
        <v>0</v>
      </c>
      <c r="J57" s="6">
        <f t="shared" si="1"/>
        <v>0</v>
      </c>
      <c r="K57" s="6" t="str">
        <f>IFERROR(INDEX(carbon!$A$14:$J$48,MATCH(data!$E57,carbon!$A$14:$A$48,0),2), "NA")</f>
        <v>NA</v>
      </c>
      <c r="L57" s="6" t="str">
        <f>IFERROR(INDEX(carbon!$A$14:$J$48,MATCH(data!$E57,carbon!$A$14:$A$48,0),4), "NA")</f>
        <v>NA</v>
      </c>
      <c r="M57" s="6" t="str">
        <f>IFERROR(INDEX(carbon!$A$14:$J$48,MATCH(data!$E57,carbon!$A$14:$A$48,0),6), "NA")</f>
        <v>NA</v>
      </c>
      <c r="N57" s="6" t="str">
        <f>IFERROR(INDEX(carbon!$A$14:$J$48,MATCH(data!$E57,carbon!$A$14:$A$48,0),8), "NA")</f>
        <v>NA</v>
      </c>
    </row>
    <row r="58" spans="1:14" ht="15">
      <c r="A58" s="4" t="s">
        <v>14</v>
      </c>
      <c r="B58" s="4" t="s">
        <v>77</v>
      </c>
      <c r="C58" s="1" t="s">
        <v>69</v>
      </c>
      <c r="D58" s="1" t="s">
        <v>16</v>
      </c>
      <c r="E58" s="1" t="s">
        <v>104</v>
      </c>
      <c r="F58" s="3" t="s">
        <v>56</v>
      </c>
      <c r="G58" s="3" t="s">
        <v>56</v>
      </c>
      <c r="H58" s="3" t="s">
        <v>56</v>
      </c>
      <c r="I58" s="3" t="s">
        <v>56</v>
      </c>
      <c r="J58" s="6" t="str">
        <f t="shared" ref="J58" si="12">IFERROR(+H58-F58, "NA")</f>
        <v>NA</v>
      </c>
      <c r="K58" s="6" t="str">
        <f t="shared" ref="K58" si="13">IFERROR(+I58-G58, "NA")</f>
        <v>NA</v>
      </c>
      <c r="L58" s="6" t="str">
        <f t="shared" ref="L58" si="14">IFERROR(+J58-H58, "NA")</f>
        <v>NA</v>
      </c>
      <c r="M58" s="6" t="str">
        <f t="shared" ref="M58" si="15">IFERROR(+K58-I58, "NA")</f>
        <v>NA</v>
      </c>
      <c r="N58" s="6" t="str">
        <f t="shared" ref="N58" si="16">IFERROR(+L58-J58, "NA")</f>
        <v>NA</v>
      </c>
    </row>
    <row r="59" spans="1:14" ht="15">
      <c r="A59" s="4" t="s">
        <v>14</v>
      </c>
      <c r="B59" s="4" t="s">
        <v>77</v>
      </c>
      <c r="C59" s="1" t="s">
        <v>71</v>
      </c>
      <c r="D59" s="1" t="s">
        <v>16</v>
      </c>
      <c r="E59" s="1" t="s">
        <v>105</v>
      </c>
      <c r="F59" s="3" t="s">
        <v>56</v>
      </c>
      <c r="G59" s="3" t="s">
        <v>56</v>
      </c>
      <c r="H59" s="3" t="s">
        <v>56</v>
      </c>
      <c r="I59" s="3" t="s">
        <v>56</v>
      </c>
      <c r="J59" s="6" t="str">
        <f t="shared" si="1"/>
        <v>NA</v>
      </c>
      <c r="K59" s="6" t="str">
        <f t="shared" ref="K59:K61" si="17">IFERROR(+I59-G59, "NA")</f>
        <v>NA</v>
      </c>
      <c r="L59" s="6" t="str">
        <f t="shared" ref="L59:L61" si="18">IFERROR(+J59-H59, "NA")</f>
        <v>NA</v>
      </c>
      <c r="M59" s="6" t="str">
        <f t="shared" ref="M59:M61" si="19">IFERROR(+K59-I59, "NA")</f>
        <v>NA</v>
      </c>
      <c r="N59" s="6" t="str">
        <f t="shared" ref="N59:N61" si="20">IFERROR(+L59-J59, "NA")</f>
        <v>NA</v>
      </c>
    </row>
    <row r="60" spans="1:14" ht="15">
      <c r="A60" s="4" t="s">
        <v>14</v>
      </c>
      <c r="B60" s="4" t="s">
        <v>77</v>
      </c>
      <c r="C60" s="1" t="s">
        <v>73</v>
      </c>
      <c r="D60" s="1" t="s">
        <v>16</v>
      </c>
      <c r="E60" s="1" t="s">
        <v>106</v>
      </c>
      <c r="F60" s="3" t="s">
        <v>56</v>
      </c>
      <c r="G60" s="3" t="s">
        <v>56</v>
      </c>
      <c r="H60" s="3" t="s">
        <v>56</v>
      </c>
      <c r="I60" s="3" t="s">
        <v>56</v>
      </c>
      <c r="J60" s="6" t="str">
        <f t="shared" si="1"/>
        <v>NA</v>
      </c>
      <c r="K60" s="6" t="str">
        <f t="shared" si="17"/>
        <v>NA</v>
      </c>
      <c r="L60" s="6" t="str">
        <f t="shared" si="18"/>
        <v>NA</v>
      </c>
      <c r="M60" s="6" t="str">
        <f t="shared" si="19"/>
        <v>NA</v>
      </c>
      <c r="N60" s="6" t="str">
        <f t="shared" si="20"/>
        <v>NA</v>
      </c>
    </row>
    <row r="61" spans="1:14" ht="15">
      <c r="A61" s="4" t="s">
        <v>14</v>
      </c>
      <c r="B61" s="4" t="s">
        <v>77</v>
      </c>
      <c r="C61" s="1" t="s">
        <v>75</v>
      </c>
      <c r="D61" s="1" t="s">
        <v>16</v>
      </c>
      <c r="E61" s="1" t="s">
        <v>107</v>
      </c>
      <c r="F61" s="3" t="s">
        <v>56</v>
      </c>
      <c r="G61" s="3" t="s">
        <v>56</v>
      </c>
      <c r="H61" s="3" t="s">
        <v>56</v>
      </c>
      <c r="I61" s="3" t="s">
        <v>56</v>
      </c>
      <c r="J61" s="6" t="str">
        <f t="shared" si="1"/>
        <v>NA</v>
      </c>
      <c r="K61" s="6" t="str">
        <f t="shared" si="17"/>
        <v>NA</v>
      </c>
      <c r="L61" s="6" t="str">
        <f t="shared" si="18"/>
        <v>NA</v>
      </c>
      <c r="M61" s="6" t="str">
        <f t="shared" si="19"/>
        <v>NA</v>
      </c>
      <c r="N61" s="6" t="str">
        <f t="shared" si="20"/>
        <v>NA</v>
      </c>
    </row>
    <row r="62" spans="1:14">
      <c r="A62" s="4" t="s">
        <v>108</v>
      </c>
      <c r="B62" s="4" t="s">
        <v>109</v>
      </c>
      <c r="C62" s="1" t="s">
        <v>16</v>
      </c>
      <c r="D62" s="1" t="s">
        <v>16</v>
      </c>
      <c r="E62" s="1" t="s">
        <v>110</v>
      </c>
    </row>
    <row r="63" spans="1:14">
      <c r="A63" s="4" t="s">
        <v>108</v>
      </c>
      <c r="B63" s="4" t="s">
        <v>109</v>
      </c>
      <c r="C63" s="1" t="s">
        <v>18</v>
      </c>
      <c r="D63" s="1" t="s">
        <v>16</v>
      </c>
      <c r="E63" s="1" t="s">
        <v>111</v>
      </c>
    </row>
    <row r="64" spans="1:14">
      <c r="A64" s="4" t="s">
        <v>108</v>
      </c>
      <c r="B64" s="4" t="s">
        <v>109</v>
      </c>
      <c r="C64" s="1" t="s">
        <v>20</v>
      </c>
      <c r="D64" s="1" t="s">
        <v>16</v>
      </c>
      <c r="E64" s="1" t="s">
        <v>112</v>
      </c>
    </row>
    <row r="65" spans="1:5">
      <c r="A65" s="4" t="s">
        <v>108</v>
      </c>
      <c r="B65" s="4" t="s">
        <v>109</v>
      </c>
      <c r="C65" s="1" t="s">
        <v>22</v>
      </c>
      <c r="D65" s="1" t="s">
        <v>16</v>
      </c>
      <c r="E65" s="1" t="s">
        <v>113</v>
      </c>
    </row>
    <row r="66" spans="1:5">
      <c r="A66" s="4" t="s">
        <v>108</v>
      </c>
      <c r="B66" s="4" t="s">
        <v>109</v>
      </c>
      <c r="C66" s="1" t="s">
        <v>24</v>
      </c>
      <c r="D66" s="1" t="s">
        <v>16</v>
      </c>
      <c r="E66" s="1" t="s">
        <v>114</v>
      </c>
    </row>
    <row r="67" spans="1:5">
      <c r="A67" s="4" t="s">
        <v>108</v>
      </c>
      <c r="B67" s="4" t="s">
        <v>109</v>
      </c>
      <c r="C67" s="1" t="s">
        <v>26</v>
      </c>
      <c r="D67" s="1" t="s">
        <v>16</v>
      </c>
      <c r="E67" s="1" t="s">
        <v>115</v>
      </c>
    </row>
    <row r="68" spans="1:5">
      <c r="A68" s="4" t="s">
        <v>108</v>
      </c>
      <c r="B68" s="4" t="s">
        <v>109</v>
      </c>
      <c r="C68" s="1" t="s">
        <v>28</v>
      </c>
      <c r="D68" s="1" t="s">
        <v>16</v>
      </c>
      <c r="E68" s="1" t="s">
        <v>116</v>
      </c>
    </row>
    <row r="69" spans="1:5">
      <c r="A69" s="4" t="s">
        <v>108</v>
      </c>
      <c r="B69" s="4" t="s">
        <v>109</v>
      </c>
      <c r="C69" s="1" t="s">
        <v>30</v>
      </c>
      <c r="D69" s="1" t="s">
        <v>16</v>
      </c>
      <c r="E69" s="1" t="s">
        <v>117</v>
      </c>
    </row>
    <row r="70" spans="1:5">
      <c r="A70" s="4" t="s">
        <v>108</v>
      </c>
      <c r="B70" s="4" t="s">
        <v>109</v>
      </c>
      <c r="C70" s="1" t="s">
        <v>32</v>
      </c>
      <c r="D70" s="1" t="s">
        <v>16</v>
      </c>
      <c r="E70" s="1" t="s">
        <v>118</v>
      </c>
    </row>
    <row r="71" spans="1:5">
      <c r="A71" s="4" t="s">
        <v>108</v>
      </c>
      <c r="B71" s="4" t="s">
        <v>109</v>
      </c>
      <c r="C71" s="1" t="s">
        <v>34</v>
      </c>
      <c r="D71" s="1" t="s">
        <v>16</v>
      </c>
      <c r="E71" s="1" t="s">
        <v>119</v>
      </c>
    </row>
    <row r="72" spans="1:5">
      <c r="A72" s="4" t="s">
        <v>108</v>
      </c>
      <c r="B72" s="4" t="s">
        <v>109</v>
      </c>
      <c r="C72" s="1" t="s">
        <v>36</v>
      </c>
      <c r="D72" s="1" t="s">
        <v>16</v>
      </c>
      <c r="E72" s="1" t="s">
        <v>120</v>
      </c>
    </row>
    <row r="73" spans="1:5">
      <c r="A73" s="4" t="s">
        <v>108</v>
      </c>
      <c r="B73" s="4" t="s">
        <v>109</v>
      </c>
      <c r="C73" s="1" t="s">
        <v>38</v>
      </c>
      <c r="D73" s="1" t="s">
        <v>16</v>
      </c>
      <c r="E73" s="1" t="s">
        <v>121</v>
      </c>
    </row>
    <row r="74" spans="1:5">
      <c r="A74" s="4" t="s">
        <v>108</v>
      </c>
      <c r="B74" s="4" t="s">
        <v>109</v>
      </c>
      <c r="C74" s="1" t="s">
        <v>40</v>
      </c>
      <c r="D74" s="1" t="s">
        <v>16</v>
      </c>
      <c r="E74" s="1" t="s">
        <v>122</v>
      </c>
    </row>
    <row r="75" spans="1:5">
      <c r="A75" s="4" t="s">
        <v>108</v>
      </c>
      <c r="B75" s="4" t="s">
        <v>109</v>
      </c>
      <c r="C75" s="1" t="s">
        <v>42</v>
      </c>
      <c r="D75" s="1" t="s">
        <v>16</v>
      </c>
      <c r="E75" s="1" t="s">
        <v>123</v>
      </c>
    </row>
    <row r="76" spans="1:5">
      <c r="A76" s="4" t="s">
        <v>108</v>
      </c>
      <c r="B76" s="4" t="s">
        <v>109</v>
      </c>
      <c r="C76" s="1" t="s">
        <v>44</v>
      </c>
      <c r="D76" s="1" t="s">
        <v>16</v>
      </c>
      <c r="E76" s="1" t="s">
        <v>124</v>
      </c>
    </row>
    <row r="77" spans="1:5">
      <c r="A77" s="4" t="s">
        <v>108</v>
      </c>
      <c r="B77" s="4" t="s">
        <v>109</v>
      </c>
      <c r="C77" s="1" t="s">
        <v>46</v>
      </c>
      <c r="D77" s="1" t="s">
        <v>16</v>
      </c>
      <c r="E77" s="1" t="s">
        <v>125</v>
      </c>
    </row>
    <row r="78" spans="1:5">
      <c r="A78" s="4" t="s">
        <v>108</v>
      </c>
      <c r="B78" s="4" t="s">
        <v>109</v>
      </c>
      <c r="C78" s="1" t="s">
        <v>48</v>
      </c>
      <c r="D78" s="1" t="s">
        <v>16</v>
      </c>
      <c r="E78" s="1" t="s">
        <v>126</v>
      </c>
    </row>
    <row r="79" spans="1:5">
      <c r="A79" s="4" t="s">
        <v>108</v>
      </c>
      <c r="B79" s="4" t="s">
        <v>109</v>
      </c>
      <c r="C79" s="1" t="s">
        <v>50</v>
      </c>
      <c r="D79" s="1" t="s">
        <v>16</v>
      </c>
      <c r="E79" s="1" t="s">
        <v>127</v>
      </c>
    </row>
    <row r="80" spans="1:5">
      <c r="A80" s="4" t="s">
        <v>108</v>
      </c>
      <c r="B80" s="4" t="s">
        <v>109</v>
      </c>
      <c r="C80" s="1" t="s">
        <v>52</v>
      </c>
      <c r="D80" s="1" t="s">
        <v>16</v>
      </c>
      <c r="E80" s="1" t="s">
        <v>128</v>
      </c>
    </row>
    <row r="81" spans="1:5">
      <c r="A81" s="4" t="s">
        <v>108</v>
      </c>
      <c r="B81" s="4" t="s">
        <v>109</v>
      </c>
      <c r="C81" s="1" t="s">
        <v>54</v>
      </c>
      <c r="D81" s="1" t="s">
        <v>16</v>
      </c>
      <c r="E81" s="1" t="s">
        <v>129</v>
      </c>
    </row>
    <row r="82" spans="1:5">
      <c r="A82" s="4" t="s">
        <v>108</v>
      </c>
      <c r="B82" s="4" t="s">
        <v>109</v>
      </c>
      <c r="C82" s="1" t="s">
        <v>57</v>
      </c>
      <c r="D82" s="1" t="s">
        <v>16</v>
      </c>
      <c r="E82" s="1" t="s">
        <v>130</v>
      </c>
    </row>
    <row r="83" spans="1:5">
      <c r="A83" s="4" t="s">
        <v>108</v>
      </c>
      <c r="B83" s="4" t="s">
        <v>109</v>
      </c>
      <c r="C83" s="1" t="s">
        <v>59</v>
      </c>
      <c r="D83" s="1" t="s">
        <v>16</v>
      </c>
      <c r="E83" s="1" t="s">
        <v>131</v>
      </c>
    </row>
    <row r="84" spans="1:5">
      <c r="A84" s="4" t="s">
        <v>108</v>
      </c>
      <c r="B84" s="4" t="s">
        <v>109</v>
      </c>
      <c r="C84" s="1" t="s">
        <v>61</v>
      </c>
      <c r="D84" s="1" t="s">
        <v>16</v>
      </c>
      <c r="E84" s="1" t="s">
        <v>132</v>
      </c>
    </row>
    <row r="85" spans="1:5">
      <c r="A85" s="4" t="s">
        <v>108</v>
      </c>
      <c r="B85" s="4" t="s">
        <v>109</v>
      </c>
      <c r="C85" s="1" t="s">
        <v>63</v>
      </c>
      <c r="D85" s="1" t="s">
        <v>16</v>
      </c>
      <c r="E85" s="1" t="s">
        <v>133</v>
      </c>
    </row>
    <row r="86" spans="1:5">
      <c r="A86" s="4" t="s">
        <v>108</v>
      </c>
      <c r="B86" s="4" t="s">
        <v>109</v>
      </c>
      <c r="C86" s="1" t="s">
        <v>65</v>
      </c>
      <c r="D86" s="1" t="s">
        <v>16</v>
      </c>
      <c r="E86" s="1" t="s">
        <v>134</v>
      </c>
    </row>
    <row r="87" spans="1:5">
      <c r="A87" s="4" t="s">
        <v>108</v>
      </c>
      <c r="B87" s="4" t="s">
        <v>109</v>
      </c>
      <c r="C87" s="1" t="s">
        <v>67</v>
      </c>
      <c r="D87" s="1" t="s">
        <v>16</v>
      </c>
      <c r="E87" s="1" t="s">
        <v>135</v>
      </c>
    </row>
    <row r="88" spans="1:5">
      <c r="A88" s="4" t="s">
        <v>108</v>
      </c>
      <c r="B88" s="4" t="s">
        <v>109</v>
      </c>
      <c r="C88" s="1" t="s">
        <v>69</v>
      </c>
      <c r="D88" s="1" t="s">
        <v>16</v>
      </c>
      <c r="E88" s="1" t="s">
        <v>136</v>
      </c>
    </row>
    <row r="89" spans="1:5">
      <c r="A89" s="4" t="s">
        <v>108</v>
      </c>
      <c r="B89" s="4" t="s">
        <v>109</v>
      </c>
      <c r="C89" s="1" t="s">
        <v>71</v>
      </c>
      <c r="D89" s="1" t="s">
        <v>16</v>
      </c>
      <c r="E89" s="1" t="s">
        <v>137</v>
      </c>
    </row>
    <row r="90" spans="1:5">
      <c r="A90" s="4" t="s">
        <v>108</v>
      </c>
      <c r="B90" s="4" t="s">
        <v>109</v>
      </c>
      <c r="C90" s="1" t="s">
        <v>73</v>
      </c>
      <c r="D90" s="1" t="s">
        <v>16</v>
      </c>
      <c r="E90" s="1" t="s">
        <v>138</v>
      </c>
    </row>
    <row r="91" spans="1:5">
      <c r="A91" s="4" t="s">
        <v>108</v>
      </c>
      <c r="B91" s="4" t="s">
        <v>109</v>
      </c>
      <c r="C91" s="1" t="s">
        <v>75</v>
      </c>
      <c r="D91" s="1" t="s">
        <v>16</v>
      </c>
      <c r="E91" s="1" t="s">
        <v>139</v>
      </c>
    </row>
    <row r="92" spans="1:5">
      <c r="A92" s="4" t="s">
        <v>108</v>
      </c>
      <c r="B92" s="4" t="s">
        <v>140</v>
      </c>
      <c r="C92" s="1" t="s">
        <v>16</v>
      </c>
      <c r="D92" s="1" t="s">
        <v>16</v>
      </c>
      <c r="E92" s="1" t="s">
        <v>110</v>
      </c>
    </row>
    <row r="93" spans="1:5">
      <c r="A93" s="4" t="s">
        <v>108</v>
      </c>
      <c r="B93" s="4" t="s">
        <v>140</v>
      </c>
      <c r="C93" s="1" t="s">
        <v>16</v>
      </c>
      <c r="D93" s="1" t="s">
        <v>18</v>
      </c>
      <c r="E93" s="1" t="s">
        <v>141</v>
      </c>
    </row>
    <row r="94" spans="1:5">
      <c r="A94" s="4" t="s">
        <v>108</v>
      </c>
      <c r="B94" s="4" t="s">
        <v>140</v>
      </c>
      <c r="C94" s="1" t="s">
        <v>16</v>
      </c>
      <c r="D94" s="1" t="s">
        <v>20</v>
      </c>
      <c r="E94" s="1" t="s">
        <v>142</v>
      </c>
    </row>
    <row r="95" spans="1:5">
      <c r="A95" s="4" t="s">
        <v>108</v>
      </c>
      <c r="B95" s="4" t="s">
        <v>140</v>
      </c>
      <c r="C95" s="1" t="s">
        <v>16</v>
      </c>
      <c r="D95" s="1" t="s">
        <v>22</v>
      </c>
      <c r="E95" s="1" t="s">
        <v>143</v>
      </c>
    </row>
    <row r="96" spans="1:5">
      <c r="A96" s="4" t="s">
        <v>108</v>
      </c>
      <c r="B96" s="4" t="s">
        <v>140</v>
      </c>
      <c r="C96" s="1" t="s">
        <v>16</v>
      </c>
      <c r="D96" s="1" t="s">
        <v>24</v>
      </c>
      <c r="E96" s="1" t="s">
        <v>144</v>
      </c>
    </row>
    <row r="97" spans="1:5">
      <c r="A97" s="4" t="s">
        <v>108</v>
      </c>
      <c r="B97" s="4" t="s">
        <v>140</v>
      </c>
      <c r="C97" s="1" t="s">
        <v>16</v>
      </c>
      <c r="D97" s="1" t="s">
        <v>26</v>
      </c>
      <c r="E97" s="1" t="s">
        <v>145</v>
      </c>
    </row>
    <row r="98" spans="1:5">
      <c r="A98" s="4" t="s">
        <v>108</v>
      </c>
      <c r="B98" s="4" t="s">
        <v>140</v>
      </c>
      <c r="C98" s="1" t="s">
        <v>16</v>
      </c>
      <c r="D98" s="1" t="s">
        <v>28</v>
      </c>
      <c r="E98" s="1" t="s">
        <v>146</v>
      </c>
    </row>
    <row r="99" spans="1:5">
      <c r="A99" s="4" t="s">
        <v>108</v>
      </c>
      <c r="B99" s="4" t="s">
        <v>140</v>
      </c>
      <c r="C99" s="1" t="s">
        <v>16</v>
      </c>
      <c r="D99" s="1" t="s">
        <v>30</v>
      </c>
      <c r="E99" s="1" t="s">
        <v>147</v>
      </c>
    </row>
    <row r="100" spans="1:5">
      <c r="A100" s="4" t="s">
        <v>108</v>
      </c>
      <c r="B100" s="4" t="s">
        <v>140</v>
      </c>
      <c r="C100" s="1" t="s">
        <v>16</v>
      </c>
      <c r="D100" s="1" t="s">
        <v>32</v>
      </c>
      <c r="E100" s="1" t="s">
        <v>148</v>
      </c>
    </row>
    <row r="101" spans="1:5">
      <c r="A101" s="4" t="s">
        <v>108</v>
      </c>
      <c r="B101" s="4" t="s">
        <v>140</v>
      </c>
      <c r="C101" s="1" t="s">
        <v>16</v>
      </c>
      <c r="D101" s="1" t="s">
        <v>34</v>
      </c>
      <c r="E101" s="1" t="s">
        <v>149</v>
      </c>
    </row>
    <row r="102" spans="1:5">
      <c r="A102" s="4" t="s">
        <v>108</v>
      </c>
      <c r="B102" s="4" t="s">
        <v>140</v>
      </c>
      <c r="C102" s="1" t="s">
        <v>16</v>
      </c>
      <c r="D102" s="1" t="s">
        <v>36</v>
      </c>
      <c r="E102" s="1" t="s">
        <v>150</v>
      </c>
    </row>
    <row r="103" spans="1:5">
      <c r="A103" s="4" t="s">
        <v>108</v>
      </c>
      <c r="B103" s="4" t="s">
        <v>140</v>
      </c>
      <c r="C103" s="1" t="s">
        <v>16</v>
      </c>
      <c r="D103" s="1" t="s">
        <v>38</v>
      </c>
      <c r="E103" s="1" t="s">
        <v>151</v>
      </c>
    </row>
    <row r="104" spans="1:5">
      <c r="A104" s="4" t="s">
        <v>108</v>
      </c>
      <c r="B104" s="4" t="s">
        <v>140</v>
      </c>
      <c r="C104" s="1" t="s">
        <v>16</v>
      </c>
      <c r="D104" s="1" t="s">
        <v>40</v>
      </c>
      <c r="E104" s="1" t="s">
        <v>152</v>
      </c>
    </row>
    <row r="105" spans="1:5">
      <c r="A105" s="4" t="s">
        <v>108</v>
      </c>
      <c r="B105" s="4" t="s">
        <v>140</v>
      </c>
      <c r="C105" s="1" t="s">
        <v>16</v>
      </c>
      <c r="D105" s="1" t="s">
        <v>42</v>
      </c>
      <c r="E105" s="1" t="s">
        <v>153</v>
      </c>
    </row>
    <row r="106" spans="1:5">
      <c r="A106" s="4" t="s">
        <v>108</v>
      </c>
      <c r="B106" s="4" t="s">
        <v>140</v>
      </c>
      <c r="C106" s="1" t="s">
        <v>16</v>
      </c>
      <c r="D106" s="1" t="s">
        <v>44</v>
      </c>
      <c r="E106" s="1" t="s">
        <v>154</v>
      </c>
    </row>
    <row r="107" spans="1:5">
      <c r="A107" s="4" t="s">
        <v>108</v>
      </c>
      <c r="B107" s="4" t="s">
        <v>140</v>
      </c>
      <c r="C107" s="1" t="s">
        <v>16</v>
      </c>
      <c r="D107" s="1" t="s">
        <v>46</v>
      </c>
      <c r="E107" s="1" t="s">
        <v>155</v>
      </c>
    </row>
    <row r="108" spans="1:5">
      <c r="A108" s="4" t="s">
        <v>108</v>
      </c>
      <c r="B108" s="4" t="s">
        <v>140</v>
      </c>
      <c r="C108" s="1" t="s">
        <v>16</v>
      </c>
      <c r="D108" s="1" t="s">
        <v>48</v>
      </c>
      <c r="E108" s="1" t="s">
        <v>156</v>
      </c>
    </row>
    <row r="109" spans="1:5">
      <c r="A109" s="4" t="s">
        <v>108</v>
      </c>
      <c r="B109" s="4" t="s">
        <v>140</v>
      </c>
      <c r="C109" s="1" t="s">
        <v>16</v>
      </c>
      <c r="D109" s="1" t="s">
        <v>50</v>
      </c>
      <c r="E109" s="1" t="s">
        <v>157</v>
      </c>
    </row>
    <row r="110" spans="1:5">
      <c r="A110" s="4" t="s">
        <v>108</v>
      </c>
      <c r="B110" s="4" t="s">
        <v>140</v>
      </c>
      <c r="C110" s="1" t="s">
        <v>16</v>
      </c>
      <c r="D110" s="1" t="s">
        <v>52</v>
      </c>
      <c r="E110" s="1" t="s">
        <v>158</v>
      </c>
    </row>
    <row r="111" spans="1:5">
      <c r="A111" s="4" t="s">
        <v>108</v>
      </c>
      <c r="B111" s="4" t="s">
        <v>140</v>
      </c>
      <c r="C111" s="1" t="s">
        <v>18</v>
      </c>
      <c r="D111" s="1" t="s">
        <v>16</v>
      </c>
      <c r="E111" s="1" t="s">
        <v>111</v>
      </c>
    </row>
    <row r="112" spans="1:5">
      <c r="A112" s="4" t="s">
        <v>108</v>
      </c>
      <c r="B112" s="4" t="s">
        <v>140</v>
      </c>
      <c r="C112" s="1" t="s">
        <v>18</v>
      </c>
      <c r="D112" s="1" t="s">
        <v>18</v>
      </c>
      <c r="E112" s="1" t="s">
        <v>159</v>
      </c>
    </row>
    <row r="113" spans="1:5">
      <c r="A113" s="4" t="s">
        <v>108</v>
      </c>
      <c r="B113" s="4" t="s">
        <v>140</v>
      </c>
      <c r="C113" s="1" t="s">
        <v>18</v>
      </c>
      <c r="D113" s="1" t="s">
        <v>20</v>
      </c>
      <c r="E113" s="1" t="s">
        <v>160</v>
      </c>
    </row>
    <row r="114" spans="1:5">
      <c r="A114" s="4" t="s">
        <v>108</v>
      </c>
      <c r="B114" s="4" t="s">
        <v>140</v>
      </c>
      <c r="C114" s="1" t="s">
        <v>18</v>
      </c>
      <c r="D114" s="1" t="s">
        <v>22</v>
      </c>
      <c r="E114" s="1" t="s">
        <v>161</v>
      </c>
    </row>
    <row r="115" spans="1:5">
      <c r="A115" s="4" t="s">
        <v>108</v>
      </c>
      <c r="B115" s="4" t="s">
        <v>140</v>
      </c>
      <c r="C115" s="1" t="s">
        <v>18</v>
      </c>
      <c r="D115" s="1" t="s">
        <v>24</v>
      </c>
      <c r="E115" s="1" t="s">
        <v>162</v>
      </c>
    </row>
    <row r="116" spans="1:5">
      <c r="A116" s="4" t="s">
        <v>108</v>
      </c>
      <c r="B116" s="4" t="s">
        <v>140</v>
      </c>
      <c r="C116" s="1" t="s">
        <v>18</v>
      </c>
      <c r="D116" s="1" t="s">
        <v>26</v>
      </c>
      <c r="E116" s="1" t="s">
        <v>163</v>
      </c>
    </row>
    <row r="117" spans="1:5">
      <c r="A117" s="4" t="s">
        <v>108</v>
      </c>
      <c r="B117" s="4" t="s">
        <v>140</v>
      </c>
      <c r="C117" s="1" t="s">
        <v>18</v>
      </c>
      <c r="D117" s="1" t="s">
        <v>28</v>
      </c>
      <c r="E117" s="1" t="s">
        <v>164</v>
      </c>
    </row>
    <row r="118" spans="1:5">
      <c r="A118" s="4" t="s">
        <v>108</v>
      </c>
      <c r="B118" s="4" t="s">
        <v>140</v>
      </c>
      <c r="C118" s="1" t="s">
        <v>18</v>
      </c>
      <c r="D118" s="1" t="s">
        <v>30</v>
      </c>
      <c r="E118" s="1" t="s">
        <v>165</v>
      </c>
    </row>
    <row r="119" spans="1:5">
      <c r="A119" s="4" t="s">
        <v>108</v>
      </c>
      <c r="B119" s="4" t="s">
        <v>140</v>
      </c>
      <c r="C119" s="1" t="s">
        <v>18</v>
      </c>
      <c r="D119" s="1" t="s">
        <v>32</v>
      </c>
      <c r="E119" s="1" t="s">
        <v>166</v>
      </c>
    </row>
    <row r="120" spans="1:5">
      <c r="A120" s="4" t="s">
        <v>108</v>
      </c>
      <c r="B120" s="4" t="s">
        <v>140</v>
      </c>
      <c r="C120" s="1" t="s">
        <v>18</v>
      </c>
      <c r="D120" s="1" t="s">
        <v>34</v>
      </c>
      <c r="E120" s="1" t="s">
        <v>167</v>
      </c>
    </row>
    <row r="121" spans="1:5">
      <c r="A121" s="4" t="s">
        <v>108</v>
      </c>
      <c r="B121" s="4" t="s">
        <v>140</v>
      </c>
      <c r="C121" s="1" t="s">
        <v>18</v>
      </c>
      <c r="D121" s="1" t="s">
        <v>36</v>
      </c>
      <c r="E121" s="1" t="s">
        <v>168</v>
      </c>
    </row>
    <row r="122" spans="1:5">
      <c r="A122" s="4" t="s">
        <v>108</v>
      </c>
      <c r="B122" s="4" t="s">
        <v>140</v>
      </c>
      <c r="C122" s="1" t="s">
        <v>18</v>
      </c>
      <c r="D122" s="1" t="s">
        <v>38</v>
      </c>
      <c r="E122" s="1" t="s">
        <v>169</v>
      </c>
    </row>
    <row r="123" spans="1:5">
      <c r="A123" s="4" t="s">
        <v>108</v>
      </c>
      <c r="B123" s="4" t="s">
        <v>140</v>
      </c>
      <c r="C123" s="1" t="s">
        <v>18</v>
      </c>
      <c r="D123" s="1" t="s">
        <v>40</v>
      </c>
      <c r="E123" s="1" t="s">
        <v>170</v>
      </c>
    </row>
    <row r="124" spans="1:5">
      <c r="A124" s="4" t="s">
        <v>108</v>
      </c>
      <c r="B124" s="4" t="s">
        <v>140</v>
      </c>
      <c r="C124" s="1" t="s">
        <v>18</v>
      </c>
      <c r="D124" s="1" t="s">
        <v>42</v>
      </c>
      <c r="E124" s="1" t="s">
        <v>171</v>
      </c>
    </row>
    <row r="125" spans="1:5">
      <c r="A125" s="4" t="s">
        <v>108</v>
      </c>
      <c r="B125" s="4" t="s">
        <v>140</v>
      </c>
      <c r="C125" s="1" t="s">
        <v>18</v>
      </c>
      <c r="D125" s="1" t="s">
        <v>44</v>
      </c>
      <c r="E125" s="1" t="s">
        <v>172</v>
      </c>
    </row>
    <row r="126" spans="1:5">
      <c r="A126" s="4" t="s">
        <v>108</v>
      </c>
      <c r="B126" s="4" t="s">
        <v>140</v>
      </c>
      <c r="C126" s="1" t="s">
        <v>18</v>
      </c>
      <c r="D126" s="1" t="s">
        <v>46</v>
      </c>
      <c r="E126" s="1" t="s">
        <v>173</v>
      </c>
    </row>
    <row r="127" spans="1:5">
      <c r="A127" s="4" t="s">
        <v>108</v>
      </c>
      <c r="B127" s="4" t="s">
        <v>140</v>
      </c>
      <c r="C127" s="1" t="s">
        <v>18</v>
      </c>
      <c r="D127" s="1" t="s">
        <v>48</v>
      </c>
      <c r="E127" s="1" t="s">
        <v>174</v>
      </c>
    </row>
    <row r="128" spans="1:5">
      <c r="A128" s="4" t="s">
        <v>108</v>
      </c>
      <c r="B128" s="4" t="s">
        <v>140</v>
      </c>
      <c r="C128" s="1" t="s">
        <v>18</v>
      </c>
      <c r="D128" s="1" t="s">
        <v>50</v>
      </c>
      <c r="E128" s="1" t="s">
        <v>175</v>
      </c>
    </row>
    <row r="129" spans="1:5">
      <c r="A129" s="4" t="s">
        <v>108</v>
      </c>
      <c r="B129" s="4" t="s">
        <v>140</v>
      </c>
      <c r="C129" s="1" t="s">
        <v>18</v>
      </c>
      <c r="D129" s="1" t="s">
        <v>52</v>
      </c>
      <c r="E129" s="1" t="s">
        <v>176</v>
      </c>
    </row>
    <row r="130" spans="1:5">
      <c r="A130" s="4" t="s">
        <v>108</v>
      </c>
      <c r="B130" s="4" t="s">
        <v>140</v>
      </c>
      <c r="C130" s="1" t="s">
        <v>20</v>
      </c>
      <c r="D130" s="1" t="s">
        <v>16</v>
      </c>
      <c r="E130" s="1" t="s">
        <v>112</v>
      </c>
    </row>
    <row r="131" spans="1:5">
      <c r="A131" s="4" t="s">
        <v>108</v>
      </c>
      <c r="B131" s="4" t="s">
        <v>140</v>
      </c>
      <c r="C131" s="1" t="s">
        <v>20</v>
      </c>
      <c r="D131" s="1" t="s">
        <v>18</v>
      </c>
      <c r="E131" s="1" t="s">
        <v>177</v>
      </c>
    </row>
    <row r="132" spans="1:5">
      <c r="A132" s="4" t="s">
        <v>108</v>
      </c>
      <c r="B132" s="4" t="s">
        <v>140</v>
      </c>
      <c r="C132" s="1" t="s">
        <v>20</v>
      </c>
      <c r="D132" s="1" t="s">
        <v>20</v>
      </c>
      <c r="E132" s="1" t="s">
        <v>178</v>
      </c>
    </row>
    <row r="133" spans="1:5">
      <c r="A133" s="4" t="s">
        <v>108</v>
      </c>
      <c r="B133" s="4" t="s">
        <v>140</v>
      </c>
      <c r="C133" s="1" t="s">
        <v>20</v>
      </c>
      <c r="D133" s="1" t="s">
        <v>22</v>
      </c>
      <c r="E133" s="1" t="s">
        <v>179</v>
      </c>
    </row>
    <row r="134" spans="1:5">
      <c r="A134" s="4" t="s">
        <v>108</v>
      </c>
      <c r="B134" s="4" t="s">
        <v>140</v>
      </c>
      <c r="C134" s="1" t="s">
        <v>20</v>
      </c>
      <c r="D134" s="1" t="s">
        <v>24</v>
      </c>
      <c r="E134" s="1" t="s">
        <v>180</v>
      </c>
    </row>
    <row r="135" spans="1:5">
      <c r="A135" s="4" t="s">
        <v>108</v>
      </c>
      <c r="B135" s="4" t="s">
        <v>140</v>
      </c>
      <c r="C135" s="1" t="s">
        <v>20</v>
      </c>
      <c r="D135" s="1" t="s">
        <v>26</v>
      </c>
      <c r="E135" s="1" t="s">
        <v>181</v>
      </c>
    </row>
    <row r="136" spans="1:5">
      <c r="A136" s="4" t="s">
        <v>108</v>
      </c>
      <c r="B136" s="4" t="s">
        <v>140</v>
      </c>
      <c r="C136" s="1" t="s">
        <v>20</v>
      </c>
      <c r="D136" s="1" t="s">
        <v>28</v>
      </c>
      <c r="E136" s="1" t="s">
        <v>182</v>
      </c>
    </row>
    <row r="137" spans="1:5">
      <c r="A137" s="4" t="s">
        <v>108</v>
      </c>
      <c r="B137" s="4" t="s">
        <v>140</v>
      </c>
      <c r="C137" s="1" t="s">
        <v>20</v>
      </c>
      <c r="D137" s="1" t="s">
        <v>30</v>
      </c>
      <c r="E137" s="1" t="s">
        <v>183</v>
      </c>
    </row>
    <row r="138" spans="1:5">
      <c r="A138" s="4" t="s">
        <v>108</v>
      </c>
      <c r="B138" s="4" t="s">
        <v>140</v>
      </c>
      <c r="C138" s="1" t="s">
        <v>20</v>
      </c>
      <c r="D138" s="1" t="s">
        <v>32</v>
      </c>
      <c r="E138" s="1" t="s">
        <v>184</v>
      </c>
    </row>
    <row r="139" spans="1:5">
      <c r="A139" s="4" t="s">
        <v>108</v>
      </c>
      <c r="B139" s="4" t="s">
        <v>140</v>
      </c>
      <c r="C139" s="1" t="s">
        <v>20</v>
      </c>
      <c r="D139" s="1" t="s">
        <v>34</v>
      </c>
      <c r="E139" s="1" t="s">
        <v>185</v>
      </c>
    </row>
    <row r="140" spans="1:5">
      <c r="A140" s="4" t="s">
        <v>108</v>
      </c>
      <c r="B140" s="4" t="s">
        <v>140</v>
      </c>
      <c r="C140" s="1" t="s">
        <v>20</v>
      </c>
      <c r="D140" s="1" t="s">
        <v>36</v>
      </c>
      <c r="E140" s="1" t="s">
        <v>186</v>
      </c>
    </row>
    <row r="141" spans="1:5">
      <c r="A141" s="4" t="s">
        <v>108</v>
      </c>
      <c r="B141" s="4" t="s">
        <v>140</v>
      </c>
      <c r="C141" s="1" t="s">
        <v>20</v>
      </c>
      <c r="D141" s="1" t="s">
        <v>38</v>
      </c>
      <c r="E141" s="1" t="s">
        <v>187</v>
      </c>
    </row>
    <row r="142" spans="1:5">
      <c r="A142" s="4" t="s">
        <v>108</v>
      </c>
      <c r="B142" s="4" t="s">
        <v>140</v>
      </c>
      <c r="C142" s="1" t="s">
        <v>20</v>
      </c>
      <c r="D142" s="1" t="s">
        <v>40</v>
      </c>
      <c r="E142" s="1" t="s">
        <v>188</v>
      </c>
    </row>
    <row r="143" spans="1:5">
      <c r="A143" s="4" t="s">
        <v>108</v>
      </c>
      <c r="B143" s="4" t="s">
        <v>140</v>
      </c>
      <c r="C143" s="1" t="s">
        <v>20</v>
      </c>
      <c r="D143" s="1" t="s">
        <v>42</v>
      </c>
      <c r="E143" s="1" t="s">
        <v>189</v>
      </c>
    </row>
    <row r="144" spans="1:5">
      <c r="A144" s="4" t="s">
        <v>108</v>
      </c>
      <c r="B144" s="4" t="s">
        <v>140</v>
      </c>
      <c r="C144" s="1" t="s">
        <v>20</v>
      </c>
      <c r="D144" s="1" t="s">
        <v>44</v>
      </c>
      <c r="E144" s="1" t="s">
        <v>190</v>
      </c>
    </row>
    <row r="145" spans="1:5">
      <c r="A145" s="4" t="s">
        <v>108</v>
      </c>
      <c r="B145" s="4" t="s">
        <v>140</v>
      </c>
      <c r="C145" s="1" t="s">
        <v>20</v>
      </c>
      <c r="D145" s="1" t="s">
        <v>46</v>
      </c>
      <c r="E145" s="1" t="s">
        <v>191</v>
      </c>
    </row>
    <row r="146" spans="1:5">
      <c r="A146" s="4" t="s">
        <v>108</v>
      </c>
      <c r="B146" s="4" t="s">
        <v>140</v>
      </c>
      <c r="C146" s="1" t="s">
        <v>20</v>
      </c>
      <c r="D146" s="1" t="s">
        <v>48</v>
      </c>
      <c r="E146" s="1" t="s">
        <v>192</v>
      </c>
    </row>
    <row r="147" spans="1:5">
      <c r="A147" s="4" t="s">
        <v>108</v>
      </c>
      <c r="B147" s="4" t="s">
        <v>140</v>
      </c>
      <c r="C147" s="1" t="s">
        <v>20</v>
      </c>
      <c r="D147" s="1" t="s">
        <v>50</v>
      </c>
      <c r="E147" s="1" t="s">
        <v>193</v>
      </c>
    </row>
    <row r="148" spans="1:5">
      <c r="A148" s="4" t="s">
        <v>108</v>
      </c>
      <c r="B148" s="4" t="s">
        <v>140</v>
      </c>
      <c r="C148" s="1" t="s">
        <v>20</v>
      </c>
      <c r="D148" s="1" t="s">
        <v>52</v>
      </c>
      <c r="E148" s="1" t="s">
        <v>194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51"/>
  <sheetViews>
    <sheetView zoomScaleNormal="100" workbookViewId="0">
      <selection activeCell="A9" sqref="A9"/>
    </sheetView>
  </sheetViews>
  <sheetFormatPr defaultColWidth="8.88671875" defaultRowHeight="12"/>
  <cols>
    <col min="1" max="4" width="12.44140625" style="8" customWidth="1"/>
    <col min="5" max="5" width="15.6640625" style="8" customWidth="1"/>
    <col min="6" max="9" width="12.44140625" style="8" customWidth="1"/>
    <col min="10" max="10" width="15.6640625" style="8" customWidth="1"/>
    <col min="11" max="16384" width="8.88671875" style="8"/>
  </cols>
  <sheetData>
    <row r="1" spans="1:10" ht="19.5" customHeight="1">
      <c r="A1" s="38"/>
      <c r="B1" s="38"/>
      <c r="C1" s="38"/>
      <c r="D1" s="39" t="s">
        <v>195</v>
      </c>
      <c r="E1" s="39"/>
      <c r="F1" s="39"/>
      <c r="G1" s="39"/>
      <c r="H1" s="39"/>
      <c r="I1" s="39"/>
      <c r="J1" s="7"/>
    </row>
    <row r="2" spans="1:10" ht="19.5" customHeight="1">
      <c r="A2" s="38"/>
      <c r="B2" s="38"/>
      <c r="C2" s="38"/>
      <c r="D2" s="39" t="s">
        <v>196</v>
      </c>
      <c r="E2" s="39"/>
      <c r="F2" s="39"/>
      <c r="G2" s="39"/>
      <c r="H2" s="39"/>
      <c r="I2" s="39"/>
      <c r="J2" s="7"/>
    </row>
    <row r="3" spans="1:10" ht="24.75" customHeight="1">
      <c r="A3" s="38"/>
      <c r="B3" s="38"/>
      <c r="C3" s="38"/>
      <c r="D3" s="40" t="s">
        <v>197</v>
      </c>
      <c r="E3" s="40"/>
      <c r="F3" s="40"/>
      <c r="G3" s="40"/>
      <c r="H3" s="40"/>
      <c r="I3" s="40"/>
      <c r="J3" s="7"/>
    </row>
    <row r="5" spans="1:10" ht="18" customHeight="1">
      <c r="A5" s="34" t="s">
        <v>198</v>
      </c>
      <c r="B5" s="34"/>
      <c r="C5" s="36"/>
      <c r="D5" s="36"/>
    </row>
    <row r="6" spans="1:10" ht="18" customHeight="1">
      <c r="A6" s="34" t="s">
        <v>199</v>
      </c>
      <c r="B6" s="34"/>
      <c r="C6" s="35"/>
      <c r="D6" s="35"/>
    </row>
    <row r="7" spans="1:10" ht="18" customHeight="1">
      <c r="A7" s="34" t="s">
        <v>200</v>
      </c>
      <c r="B7" s="34"/>
      <c r="C7" s="36"/>
      <c r="D7" s="36"/>
    </row>
    <row r="8" spans="1:10" ht="18" customHeight="1">
      <c r="A8" s="34" t="s">
        <v>201</v>
      </c>
      <c r="B8" s="34"/>
      <c r="C8" s="37"/>
      <c r="D8" s="37"/>
    </row>
    <row r="9" spans="1:10" ht="19.5" customHeight="1">
      <c r="A9" s="9"/>
      <c r="B9" s="9"/>
      <c r="C9" s="9"/>
      <c r="D9" s="9"/>
      <c r="E9" s="9"/>
      <c r="F9" s="9"/>
      <c r="G9" s="9"/>
    </row>
    <row r="10" spans="1:10" ht="19.5" customHeight="1">
      <c r="A10" s="10"/>
      <c r="B10" s="30" t="s">
        <v>202</v>
      </c>
      <c r="C10" s="30"/>
      <c r="D10" s="30"/>
      <c r="E10" s="30"/>
      <c r="F10" s="30" t="s">
        <v>203</v>
      </c>
      <c r="G10" s="30"/>
      <c r="H10" s="30"/>
      <c r="I10" s="30"/>
    </row>
    <row r="11" spans="1:10" ht="19.5" customHeight="1">
      <c r="A11" s="31" t="s">
        <v>204</v>
      </c>
      <c r="B11" s="32" t="s">
        <v>245</v>
      </c>
      <c r="C11" s="29" t="s">
        <v>206</v>
      </c>
      <c r="D11" s="33" t="s">
        <v>207</v>
      </c>
      <c r="E11" s="29" t="s">
        <v>208</v>
      </c>
      <c r="F11" s="33" t="s">
        <v>205</v>
      </c>
      <c r="G11" s="29" t="s">
        <v>206</v>
      </c>
      <c r="H11" s="29" t="s">
        <v>209</v>
      </c>
      <c r="I11" s="29" t="s">
        <v>210</v>
      </c>
      <c r="J11" s="29" t="s">
        <v>211</v>
      </c>
    </row>
    <row r="12" spans="1:10" ht="19.5" customHeight="1">
      <c r="A12" s="31"/>
      <c r="B12" s="32"/>
      <c r="C12" s="29"/>
      <c r="D12" s="33"/>
      <c r="E12" s="29"/>
      <c r="F12" s="33"/>
      <c r="G12" s="29"/>
      <c r="H12" s="29"/>
      <c r="I12" s="29"/>
      <c r="J12" s="29"/>
    </row>
    <row r="13" spans="1:10" ht="14.25" customHeight="1">
      <c r="A13" s="11"/>
      <c r="B13" s="12"/>
      <c r="C13" s="13"/>
      <c r="D13" s="14"/>
      <c r="E13" s="15" t="s">
        <v>212</v>
      </c>
      <c r="F13" s="16"/>
      <c r="G13" s="13"/>
      <c r="H13" s="17"/>
      <c r="I13" s="18" t="s">
        <v>212</v>
      </c>
      <c r="J13" s="15" t="s">
        <v>212</v>
      </c>
    </row>
    <row r="14" spans="1:10" ht="14.25" customHeight="1">
      <c r="A14" s="19" t="s">
        <v>213</v>
      </c>
      <c r="B14" s="20">
        <v>97.99</v>
      </c>
      <c r="C14" s="21">
        <v>1</v>
      </c>
      <c r="D14" s="22">
        <v>31.56</v>
      </c>
      <c r="E14" s="23">
        <f t="shared" ref="E14:E48" si="0">(D14*1000/B14)*C14</f>
        <v>322.07368098785594</v>
      </c>
      <c r="F14" s="24">
        <v>315.60000000000002</v>
      </c>
      <c r="G14" s="21">
        <v>1</v>
      </c>
      <c r="H14" s="25">
        <v>3.6080000000000001</v>
      </c>
      <c r="I14" s="26">
        <f t="shared" ref="I14:I48" si="1">(H14*1000/F14)*G14</f>
        <v>11.432192648922687</v>
      </c>
      <c r="J14" s="23">
        <f t="shared" ref="J14:J48" si="2">E14-I14</f>
        <v>310.64148833893324</v>
      </c>
    </row>
    <row r="15" spans="1:10" ht="14.25" customHeight="1">
      <c r="A15" s="19" t="s">
        <v>214</v>
      </c>
      <c r="B15" s="20">
        <v>70.47</v>
      </c>
      <c r="C15" s="21">
        <v>1</v>
      </c>
      <c r="D15" s="22">
        <v>22.05</v>
      </c>
      <c r="E15" s="23">
        <f t="shared" si="0"/>
        <v>312.89910600255428</v>
      </c>
      <c r="F15" s="24">
        <v>351.92</v>
      </c>
      <c r="G15" s="21">
        <v>1</v>
      </c>
      <c r="H15" s="25">
        <v>3.5630000000000002</v>
      </c>
      <c r="I15" s="26">
        <f t="shared" si="1"/>
        <v>10.12446010456922</v>
      </c>
      <c r="J15" s="23">
        <f t="shared" si="2"/>
        <v>302.77464589798507</v>
      </c>
    </row>
    <row r="16" spans="1:10" ht="14.25" customHeight="1">
      <c r="A16" s="19" t="s">
        <v>215</v>
      </c>
      <c r="B16" s="20">
        <v>79.33</v>
      </c>
      <c r="C16" s="21">
        <v>1</v>
      </c>
      <c r="D16" s="22">
        <v>23.98</v>
      </c>
      <c r="E16" s="23">
        <f t="shared" si="0"/>
        <v>302.28160847094415</v>
      </c>
      <c r="F16" s="24">
        <v>320.35000000000002</v>
      </c>
      <c r="G16" s="21">
        <v>1</v>
      </c>
      <c r="H16" s="25">
        <v>2.6360000000000001</v>
      </c>
      <c r="I16" s="26">
        <f t="shared" si="1"/>
        <v>8.2285000780396427</v>
      </c>
      <c r="J16" s="23">
        <f t="shared" si="2"/>
        <v>294.05310839290451</v>
      </c>
    </row>
    <row r="17" spans="1:10" ht="14.25" customHeight="1">
      <c r="A17" s="19" t="s">
        <v>216</v>
      </c>
      <c r="B17" s="20">
        <v>73.989999999999995</v>
      </c>
      <c r="C17" s="21">
        <v>1</v>
      </c>
      <c r="D17" s="22">
        <v>24.5</v>
      </c>
      <c r="E17" s="23">
        <f t="shared" si="0"/>
        <v>331.12582781456956</v>
      </c>
      <c r="F17" s="24">
        <v>281.98</v>
      </c>
      <c r="G17" s="21">
        <v>1</v>
      </c>
      <c r="H17" s="25">
        <v>3.1829999999999998</v>
      </c>
      <c r="I17" s="26">
        <f t="shared" si="1"/>
        <v>11.288034612383857</v>
      </c>
      <c r="J17" s="23">
        <f t="shared" si="2"/>
        <v>319.83779320218571</v>
      </c>
    </row>
    <row r="18" spans="1:10" ht="14.25" customHeight="1">
      <c r="A18" s="19" t="s">
        <v>217</v>
      </c>
      <c r="B18" s="20">
        <v>74.010000000000005</v>
      </c>
      <c r="C18" s="21">
        <v>1</v>
      </c>
      <c r="D18" s="22">
        <v>18.350000000000001</v>
      </c>
      <c r="E18" s="23">
        <f t="shared" si="0"/>
        <v>247.93946763950817</v>
      </c>
      <c r="F18" s="24">
        <v>727.36</v>
      </c>
      <c r="G18" s="21">
        <v>1</v>
      </c>
      <c r="H18" s="25">
        <v>6.2670000000000003</v>
      </c>
      <c r="I18" s="26">
        <f t="shared" si="1"/>
        <v>8.616091069071711</v>
      </c>
      <c r="J18" s="23">
        <f t="shared" si="2"/>
        <v>239.32337657043647</v>
      </c>
    </row>
    <row r="19" spans="1:10" ht="14.25" customHeight="1">
      <c r="A19" s="19" t="s">
        <v>218</v>
      </c>
      <c r="B19" s="20">
        <v>68.98</v>
      </c>
      <c r="C19" s="21">
        <v>1</v>
      </c>
      <c r="D19" s="22">
        <v>21.48</v>
      </c>
      <c r="E19" s="23">
        <f t="shared" si="0"/>
        <v>311.39460713250213</v>
      </c>
      <c r="F19" s="24">
        <v>657</v>
      </c>
      <c r="G19" s="21">
        <v>1</v>
      </c>
      <c r="H19" s="25">
        <v>4.5510000000000002</v>
      </c>
      <c r="I19" s="26">
        <f t="shared" si="1"/>
        <v>6.9269406392694064</v>
      </c>
      <c r="J19" s="23">
        <f t="shared" si="2"/>
        <v>304.46766649323274</v>
      </c>
    </row>
    <row r="20" spans="1:10" ht="14.25" customHeight="1">
      <c r="A20" s="19" t="s">
        <v>219</v>
      </c>
      <c r="B20" s="20">
        <v>73.849999999999994</v>
      </c>
      <c r="C20" s="21">
        <v>1</v>
      </c>
      <c r="D20" s="22">
        <v>22.28</v>
      </c>
      <c r="E20" s="23">
        <f t="shared" si="0"/>
        <v>301.69262017603251</v>
      </c>
      <c r="F20" s="24">
        <v>334.55</v>
      </c>
      <c r="G20" s="21">
        <v>1</v>
      </c>
      <c r="H20" s="25">
        <v>2.835</v>
      </c>
      <c r="I20" s="26">
        <f t="shared" si="1"/>
        <v>8.4740696457928557</v>
      </c>
      <c r="J20" s="23">
        <f t="shared" si="2"/>
        <v>293.21855053023967</v>
      </c>
    </row>
    <row r="21" spans="1:10" ht="14.25" customHeight="1">
      <c r="A21" s="19" t="s">
        <v>220</v>
      </c>
      <c r="B21" s="20">
        <v>74.849999999999994</v>
      </c>
      <c r="C21" s="21">
        <v>1</v>
      </c>
      <c r="D21" s="22">
        <v>24.41</v>
      </c>
      <c r="E21" s="23">
        <f t="shared" si="0"/>
        <v>326.11890447561791</v>
      </c>
      <c r="F21" s="24">
        <v>260.41000000000003</v>
      </c>
      <c r="G21" s="21">
        <v>1</v>
      </c>
      <c r="H21" s="25">
        <v>3.0739999999999998</v>
      </c>
      <c r="I21" s="26">
        <f t="shared" si="1"/>
        <v>11.804462194232171</v>
      </c>
      <c r="J21" s="23">
        <f t="shared" si="2"/>
        <v>314.31444228138577</v>
      </c>
    </row>
    <row r="22" spans="1:10" ht="14.25" customHeight="1">
      <c r="A22" s="19" t="s">
        <v>221</v>
      </c>
      <c r="B22" s="20">
        <v>68.45</v>
      </c>
      <c r="C22" s="21">
        <v>1</v>
      </c>
      <c r="D22" s="22">
        <v>23.24</v>
      </c>
      <c r="E22" s="23">
        <f t="shared" si="0"/>
        <v>339.51789627465303</v>
      </c>
      <c r="F22" s="24">
        <v>292.89999999999998</v>
      </c>
      <c r="G22" s="21">
        <v>1</v>
      </c>
      <c r="H22" s="25">
        <v>2.9279999999999999</v>
      </c>
      <c r="I22" s="26">
        <f t="shared" si="1"/>
        <v>9.9965858654831017</v>
      </c>
      <c r="J22" s="23">
        <f t="shared" si="2"/>
        <v>329.52131040916993</v>
      </c>
    </row>
    <row r="23" spans="1:10" ht="14.25" customHeight="1">
      <c r="A23" s="19" t="s">
        <v>222</v>
      </c>
      <c r="B23" s="20">
        <v>72.59</v>
      </c>
      <c r="C23" s="21">
        <v>1</v>
      </c>
      <c r="D23" s="22">
        <v>16.37</v>
      </c>
      <c r="E23" s="23">
        <f t="shared" si="0"/>
        <v>225.51315608210498</v>
      </c>
      <c r="F23" s="24">
        <v>590.16</v>
      </c>
      <c r="G23" s="21">
        <v>1</v>
      </c>
      <c r="H23" s="25">
        <v>4.2939999999999996</v>
      </c>
      <c r="I23" s="26">
        <f t="shared" si="1"/>
        <v>7.2759929510641186</v>
      </c>
      <c r="J23" s="23">
        <f t="shared" si="2"/>
        <v>218.23716313104086</v>
      </c>
    </row>
    <row r="24" spans="1:10" ht="14.25" customHeight="1">
      <c r="A24" s="19" t="s">
        <v>223</v>
      </c>
      <c r="B24" s="20">
        <v>75.22</v>
      </c>
      <c r="C24" s="21">
        <v>1</v>
      </c>
      <c r="D24" s="22">
        <v>23.63</v>
      </c>
      <c r="E24" s="23">
        <f t="shared" si="0"/>
        <v>314.14517415580963</v>
      </c>
      <c r="F24" s="24">
        <v>349</v>
      </c>
      <c r="G24" s="21">
        <v>1</v>
      </c>
      <c r="H24" s="25">
        <v>3.524</v>
      </c>
      <c r="I24" s="26">
        <f t="shared" si="1"/>
        <v>10.097421203438396</v>
      </c>
      <c r="J24" s="23">
        <f t="shared" si="2"/>
        <v>304.04775295237124</v>
      </c>
    </row>
    <row r="25" spans="1:10" ht="14.25" customHeight="1">
      <c r="A25" s="19" t="s">
        <v>224</v>
      </c>
      <c r="B25" s="20">
        <v>76.19</v>
      </c>
      <c r="C25" s="21">
        <v>1</v>
      </c>
      <c r="D25" s="22">
        <v>22.04</v>
      </c>
      <c r="E25" s="23">
        <f t="shared" si="0"/>
        <v>289.27680798004991</v>
      </c>
      <c r="F25" s="24">
        <v>298.7</v>
      </c>
      <c r="G25" s="21">
        <v>1</v>
      </c>
      <c r="H25" s="25">
        <v>3.5750000000000002</v>
      </c>
      <c r="I25" s="26">
        <f t="shared" si="1"/>
        <v>11.968530297957818</v>
      </c>
      <c r="J25" s="23">
        <f t="shared" si="2"/>
        <v>277.30827768209207</v>
      </c>
    </row>
    <row r="26" spans="1:10" ht="14.25" customHeight="1">
      <c r="A26" s="19" t="s">
        <v>225</v>
      </c>
      <c r="B26" s="20">
        <v>70.72</v>
      </c>
      <c r="C26" s="21">
        <v>1</v>
      </c>
      <c r="D26" s="22">
        <v>16.399999999999999</v>
      </c>
      <c r="E26" s="23">
        <f t="shared" si="0"/>
        <v>231.90045248868779</v>
      </c>
      <c r="F26" s="24">
        <v>373.3</v>
      </c>
      <c r="G26" s="21">
        <v>1</v>
      </c>
      <c r="H26" s="25">
        <v>8.2360000000000007</v>
      </c>
      <c r="I26" s="26">
        <f t="shared" si="1"/>
        <v>22.062684168229307</v>
      </c>
      <c r="J26" s="23">
        <f t="shared" si="2"/>
        <v>209.83776832045848</v>
      </c>
    </row>
    <row r="27" spans="1:10" ht="14.25" customHeight="1">
      <c r="A27" s="19" t="s">
        <v>226</v>
      </c>
      <c r="B27" s="20">
        <v>66.72</v>
      </c>
      <c r="C27" s="21">
        <v>1</v>
      </c>
      <c r="D27" s="22">
        <v>16.18</v>
      </c>
      <c r="E27" s="23">
        <f t="shared" si="0"/>
        <v>242.50599520383693</v>
      </c>
      <c r="F27" s="24">
        <v>339.66</v>
      </c>
      <c r="G27" s="21">
        <v>1</v>
      </c>
      <c r="H27" s="25">
        <v>5.8449999999999998</v>
      </c>
      <c r="I27" s="26">
        <f t="shared" si="1"/>
        <v>17.208384855443679</v>
      </c>
      <c r="J27" s="23">
        <f t="shared" si="2"/>
        <v>225.29761034839325</v>
      </c>
    </row>
    <row r="28" spans="1:10" ht="14.25" customHeight="1">
      <c r="A28" s="19" t="s">
        <v>227</v>
      </c>
      <c r="B28" s="20">
        <v>65.709999999999994</v>
      </c>
      <c r="C28" s="21">
        <v>1</v>
      </c>
      <c r="D28" s="22">
        <v>7.91</v>
      </c>
      <c r="E28" s="23">
        <f t="shared" si="0"/>
        <v>120.37741591842948</v>
      </c>
      <c r="F28" s="24">
        <v>529.88</v>
      </c>
      <c r="G28" s="21">
        <v>1</v>
      </c>
      <c r="H28" s="25">
        <v>8.02</v>
      </c>
      <c r="I28" s="26">
        <f t="shared" si="1"/>
        <v>15.135502377896882</v>
      </c>
      <c r="J28" s="23">
        <f t="shared" si="2"/>
        <v>105.24191354053259</v>
      </c>
    </row>
    <row r="29" spans="1:10" ht="14.25" customHeight="1">
      <c r="A29" s="19" t="s">
        <v>228</v>
      </c>
      <c r="B29" s="20">
        <v>68.989999999999995</v>
      </c>
      <c r="C29" s="21">
        <v>1</v>
      </c>
      <c r="D29" s="22">
        <v>18.23</v>
      </c>
      <c r="E29" s="23">
        <f t="shared" si="0"/>
        <v>264.24119437599654</v>
      </c>
      <c r="F29" s="24">
        <v>386.41</v>
      </c>
      <c r="G29" s="21">
        <v>1</v>
      </c>
      <c r="H29" s="25">
        <v>4.0739999999999998</v>
      </c>
      <c r="I29" s="26">
        <f t="shared" si="1"/>
        <v>10.543205403586864</v>
      </c>
      <c r="J29" s="23">
        <f t="shared" si="2"/>
        <v>253.69798897240969</v>
      </c>
    </row>
    <row r="30" spans="1:10" ht="14.25" customHeight="1">
      <c r="A30" s="19" t="s">
        <v>229</v>
      </c>
      <c r="B30" s="20">
        <v>71.47</v>
      </c>
      <c r="C30" s="21">
        <v>1</v>
      </c>
      <c r="D30" s="22">
        <v>17.64</v>
      </c>
      <c r="E30" s="23">
        <f t="shared" si="0"/>
        <v>246.81684622918706</v>
      </c>
      <c r="F30" s="24">
        <v>393.52</v>
      </c>
      <c r="G30" s="21">
        <v>1</v>
      </c>
      <c r="H30" s="25">
        <v>2.496</v>
      </c>
      <c r="I30" s="26">
        <f t="shared" si="1"/>
        <v>6.3427525919902425</v>
      </c>
      <c r="J30" s="23">
        <f t="shared" si="2"/>
        <v>240.47409363719683</v>
      </c>
    </row>
    <row r="31" spans="1:10" ht="14.25" customHeight="1">
      <c r="A31" s="19"/>
      <c r="B31" s="20"/>
      <c r="C31" s="21"/>
      <c r="D31" s="22"/>
      <c r="E31" s="23"/>
      <c r="F31" s="24"/>
      <c r="G31" s="21"/>
      <c r="H31" s="25"/>
      <c r="I31" s="26"/>
      <c r="J31" s="23"/>
    </row>
    <row r="32" spans="1:10" ht="14.25" customHeight="1">
      <c r="A32" s="19" t="s">
        <v>230</v>
      </c>
      <c r="B32" s="20">
        <v>70.86</v>
      </c>
      <c r="C32" s="21">
        <v>1</v>
      </c>
      <c r="D32" s="22">
        <v>22.58</v>
      </c>
      <c r="E32" s="23">
        <f t="shared" si="0"/>
        <v>318.65650578605704</v>
      </c>
      <c r="F32" s="24">
        <v>353.87</v>
      </c>
      <c r="G32" s="21">
        <v>1</v>
      </c>
      <c r="H32" s="25">
        <v>3.3210000000000002</v>
      </c>
      <c r="I32" s="26">
        <f t="shared" si="1"/>
        <v>9.3848023285387292</v>
      </c>
      <c r="J32" s="23">
        <f t="shared" si="2"/>
        <v>309.2717034575183</v>
      </c>
    </row>
    <row r="33" spans="1:10" ht="14.25" customHeight="1">
      <c r="A33" s="19" t="s">
        <v>231</v>
      </c>
      <c r="B33" s="20">
        <v>72.069999999999993</v>
      </c>
      <c r="C33" s="21">
        <v>1</v>
      </c>
      <c r="D33" s="22">
        <v>24.34</v>
      </c>
      <c r="E33" s="23">
        <f t="shared" si="0"/>
        <v>337.72720965727768</v>
      </c>
      <c r="F33" s="24">
        <v>395</v>
      </c>
      <c r="G33" s="21">
        <v>1</v>
      </c>
      <c r="H33" s="25">
        <v>4.1420000000000003</v>
      </c>
      <c r="I33" s="26">
        <f t="shared" si="1"/>
        <v>10.486075949367089</v>
      </c>
      <c r="J33" s="23">
        <f t="shared" si="2"/>
        <v>327.24113370791059</v>
      </c>
    </row>
    <row r="34" spans="1:10" ht="14.25" customHeight="1">
      <c r="A34" s="19" t="s">
        <v>232</v>
      </c>
      <c r="B34" s="20">
        <v>70.98</v>
      </c>
      <c r="C34" s="21">
        <v>1</v>
      </c>
      <c r="D34" s="22">
        <v>20.7</v>
      </c>
      <c r="E34" s="23">
        <f t="shared" si="0"/>
        <v>291.6314454775993</v>
      </c>
      <c r="F34" s="24">
        <v>366.05</v>
      </c>
      <c r="G34" s="21">
        <v>1</v>
      </c>
      <c r="H34" s="25">
        <v>3.0979999999999999</v>
      </c>
      <c r="I34" s="26">
        <f t="shared" si="1"/>
        <v>8.4633246824204349</v>
      </c>
      <c r="J34" s="23">
        <f t="shared" si="2"/>
        <v>283.16812079517888</v>
      </c>
    </row>
    <row r="35" spans="1:10" ht="14.25" customHeight="1">
      <c r="A35" s="19" t="s">
        <v>233</v>
      </c>
      <c r="B35" s="20">
        <v>78.81</v>
      </c>
      <c r="C35" s="21">
        <v>1</v>
      </c>
      <c r="D35" s="22">
        <v>28.05</v>
      </c>
      <c r="E35" s="23">
        <f t="shared" si="0"/>
        <v>355.91929958127139</v>
      </c>
      <c r="F35" s="24">
        <v>363.62</v>
      </c>
      <c r="G35" s="21">
        <v>1</v>
      </c>
      <c r="H35" s="25">
        <v>2.1779999999999999</v>
      </c>
      <c r="I35" s="26">
        <f t="shared" si="1"/>
        <v>5.9897695396292834</v>
      </c>
      <c r="J35" s="23">
        <f t="shared" si="2"/>
        <v>349.92953004164212</v>
      </c>
    </row>
    <row r="36" spans="1:10" ht="14.25" customHeight="1">
      <c r="A36" s="19" t="s">
        <v>234</v>
      </c>
      <c r="B36" s="20">
        <v>70.709999999999994</v>
      </c>
      <c r="C36" s="21">
        <v>1</v>
      </c>
      <c r="D36" s="22">
        <v>17.399999999999999</v>
      </c>
      <c r="E36" s="23">
        <f t="shared" si="0"/>
        <v>246.07551972846841</v>
      </c>
      <c r="F36" s="24">
        <v>341.9</v>
      </c>
      <c r="G36" s="21">
        <v>1</v>
      </c>
      <c r="H36" s="25">
        <v>4.41</v>
      </c>
      <c r="I36" s="26">
        <f t="shared" si="1"/>
        <v>12.898508335770694</v>
      </c>
      <c r="J36" s="23">
        <f t="shared" si="2"/>
        <v>233.17701139269772</v>
      </c>
    </row>
    <row r="37" spans="1:10" ht="14.25" customHeight="1">
      <c r="A37" s="19" t="s">
        <v>235</v>
      </c>
      <c r="B37" s="20">
        <v>73.91</v>
      </c>
      <c r="C37" s="21">
        <v>1</v>
      </c>
      <c r="D37" s="22">
        <v>24.79</v>
      </c>
      <c r="E37" s="23">
        <f t="shared" si="0"/>
        <v>335.40792856176432</v>
      </c>
      <c r="F37" s="24">
        <v>365.95</v>
      </c>
      <c r="G37" s="21">
        <v>1</v>
      </c>
      <c r="H37" s="25">
        <v>3.41</v>
      </c>
      <c r="I37" s="26">
        <f t="shared" si="1"/>
        <v>9.3182128706107399</v>
      </c>
      <c r="J37" s="23">
        <f t="shared" si="2"/>
        <v>326.08971569115357</v>
      </c>
    </row>
    <row r="38" spans="1:10" ht="14.25" customHeight="1">
      <c r="A38" s="19" t="s">
        <v>236</v>
      </c>
      <c r="B38" s="20">
        <v>74.569999999999993</v>
      </c>
      <c r="C38" s="21">
        <v>1</v>
      </c>
      <c r="D38" s="22">
        <v>23.16</v>
      </c>
      <c r="E38" s="23">
        <f t="shared" si="0"/>
        <v>310.58066246479819</v>
      </c>
      <c r="F38" s="24">
        <v>302.08</v>
      </c>
      <c r="G38" s="21">
        <v>1</v>
      </c>
      <c r="H38" s="25">
        <v>2.8479999999999999</v>
      </c>
      <c r="I38" s="26">
        <f t="shared" si="1"/>
        <v>9.4279661016949152</v>
      </c>
      <c r="J38" s="23">
        <f t="shared" si="2"/>
        <v>301.1526963631033</v>
      </c>
    </row>
    <row r="39" spans="1:10" ht="14.25" customHeight="1">
      <c r="A39" s="19" t="s">
        <v>237</v>
      </c>
      <c r="B39" s="20">
        <v>78.72</v>
      </c>
      <c r="C39" s="21">
        <v>1</v>
      </c>
      <c r="D39" s="22">
        <v>25.66</v>
      </c>
      <c r="E39" s="23">
        <f t="shared" si="0"/>
        <v>325.96544715447158</v>
      </c>
      <c r="F39" s="24">
        <v>463.97</v>
      </c>
      <c r="G39" s="21">
        <v>1</v>
      </c>
      <c r="H39" s="25">
        <v>4.4039999999999999</v>
      </c>
      <c r="I39" s="26">
        <f t="shared" si="1"/>
        <v>9.4919930167898787</v>
      </c>
      <c r="J39" s="23">
        <f t="shared" si="2"/>
        <v>316.4734541376817</v>
      </c>
    </row>
    <row r="40" spans="1:10" ht="14.25" customHeight="1">
      <c r="A40" s="19" t="s">
        <v>238</v>
      </c>
      <c r="B40" s="20">
        <v>72.12</v>
      </c>
      <c r="C40" s="21">
        <v>1</v>
      </c>
      <c r="D40" s="22">
        <v>24.95</v>
      </c>
      <c r="E40" s="23">
        <f t="shared" si="0"/>
        <v>345.95119245701608</v>
      </c>
      <c r="F40" s="24">
        <v>725.53</v>
      </c>
      <c r="G40" s="21">
        <v>1</v>
      </c>
      <c r="H40" s="25">
        <v>5.9690000000000003</v>
      </c>
      <c r="I40" s="26">
        <f t="shared" si="1"/>
        <v>8.2270891624054148</v>
      </c>
      <c r="J40" s="23">
        <f t="shared" si="2"/>
        <v>337.72410329461064</v>
      </c>
    </row>
    <row r="41" spans="1:10" ht="14.25" customHeight="1">
      <c r="A41" s="19" t="s">
        <v>259</v>
      </c>
      <c r="B41" s="20">
        <v>76.180000000000007</v>
      </c>
      <c r="C41" s="21">
        <v>1</v>
      </c>
      <c r="D41" s="22">
        <v>15.92</v>
      </c>
      <c r="E41" s="23">
        <f t="shared" si="0"/>
        <v>208.97873457600417</v>
      </c>
      <c r="F41" s="24">
        <v>340.23</v>
      </c>
      <c r="G41" s="21">
        <v>1</v>
      </c>
      <c r="H41" s="25">
        <v>1.5369999999999999</v>
      </c>
      <c r="I41" s="26">
        <f t="shared" si="1"/>
        <v>4.5175322575904531</v>
      </c>
      <c r="J41" s="23">
        <f t="shared" si="2"/>
        <v>204.46120231841371</v>
      </c>
    </row>
    <row r="42" spans="1:10" ht="14.25" customHeight="1">
      <c r="A42" s="19" t="s">
        <v>260</v>
      </c>
      <c r="B42" s="20">
        <v>79.510000000000005</v>
      </c>
      <c r="C42" s="21">
        <v>1</v>
      </c>
      <c r="D42" s="22">
        <v>21.39</v>
      </c>
      <c r="E42" s="23">
        <f t="shared" si="0"/>
        <v>269.02276443214686</v>
      </c>
      <c r="F42" s="24">
        <v>485.75</v>
      </c>
      <c r="G42" s="21">
        <v>1</v>
      </c>
      <c r="H42" s="25">
        <v>1.2010000000000001</v>
      </c>
      <c r="I42" s="26">
        <f t="shared" si="1"/>
        <v>2.4724652599073598</v>
      </c>
      <c r="J42" s="23">
        <f t="shared" si="2"/>
        <v>266.55029917223948</v>
      </c>
    </row>
    <row r="43" spans="1:10" ht="14.25" customHeight="1">
      <c r="A43" s="19" t="s">
        <v>239</v>
      </c>
      <c r="B43" s="20">
        <v>78.709999999999994</v>
      </c>
      <c r="C43" s="21">
        <v>1</v>
      </c>
      <c r="D43" s="22">
        <v>13.23</v>
      </c>
      <c r="E43" s="23">
        <f t="shared" si="0"/>
        <v>168.08537669927583</v>
      </c>
      <c r="F43" s="24">
        <v>344.57</v>
      </c>
      <c r="G43" s="21">
        <v>1</v>
      </c>
      <c r="H43" s="25">
        <v>2.6819999999999999</v>
      </c>
      <c r="I43" s="26">
        <f t="shared" si="1"/>
        <v>7.7836143599268652</v>
      </c>
      <c r="J43" s="23">
        <f t="shared" si="2"/>
        <v>160.30176233934895</v>
      </c>
    </row>
    <row r="44" spans="1:10" ht="14.25" customHeight="1">
      <c r="A44" s="19" t="s">
        <v>261</v>
      </c>
      <c r="B44" s="20">
        <v>71.760000000000005</v>
      </c>
      <c r="C44" s="21">
        <v>1</v>
      </c>
      <c r="D44" s="22">
        <v>18.350000000000001</v>
      </c>
      <c r="E44" s="23">
        <f t="shared" si="0"/>
        <v>255.71348940914157</v>
      </c>
      <c r="F44" s="24">
        <v>263.48</v>
      </c>
      <c r="G44" s="21">
        <v>1</v>
      </c>
      <c r="H44" s="25">
        <v>2.6760000000000002</v>
      </c>
      <c r="I44" s="26">
        <f t="shared" si="1"/>
        <v>10.156368604827691</v>
      </c>
      <c r="J44" s="23">
        <f t="shared" si="2"/>
        <v>245.55712080431388</v>
      </c>
    </row>
    <row r="45" spans="1:10" ht="14.25" customHeight="1">
      <c r="A45" s="19" t="s">
        <v>262</v>
      </c>
      <c r="B45" s="20">
        <v>72.569999999999993</v>
      </c>
      <c r="C45" s="21">
        <v>1</v>
      </c>
      <c r="D45" s="22">
        <v>17.3</v>
      </c>
      <c r="E45" s="23">
        <f t="shared" si="0"/>
        <v>238.39051949841536</v>
      </c>
      <c r="F45" s="24">
        <v>265.94</v>
      </c>
      <c r="G45" s="21">
        <v>1</v>
      </c>
      <c r="H45" s="25">
        <v>2.6</v>
      </c>
      <c r="I45" s="26">
        <f t="shared" si="1"/>
        <v>9.7766413476724079</v>
      </c>
      <c r="J45" s="23">
        <f t="shared" si="2"/>
        <v>228.61387815074295</v>
      </c>
    </row>
    <row r="46" spans="1:10" ht="14.25" customHeight="1">
      <c r="A46" s="19" t="s">
        <v>240</v>
      </c>
      <c r="B46" s="20">
        <v>77.930000000000007</v>
      </c>
      <c r="C46" s="21">
        <v>1</v>
      </c>
      <c r="D46" s="22">
        <v>9.7370000000000001</v>
      </c>
      <c r="E46" s="23">
        <f t="shared" si="0"/>
        <v>124.94546387783907</v>
      </c>
      <c r="F46" s="24">
        <v>375.58</v>
      </c>
      <c r="G46" s="21">
        <v>1</v>
      </c>
      <c r="H46" s="25">
        <v>3.6509999999999998</v>
      </c>
      <c r="I46" s="26">
        <f t="shared" si="1"/>
        <v>9.7209649076095648</v>
      </c>
      <c r="J46" s="23">
        <f t="shared" si="2"/>
        <v>115.2244989702295</v>
      </c>
    </row>
    <row r="47" spans="1:10" ht="14.25" customHeight="1">
      <c r="A47" s="19" t="s">
        <v>241</v>
      </c>
      <c r="B47" s="20">
        <v>70.400000000000006</v>
      </c>
      <c r="C47" s="21">
        <v>1</v>
      </c>
      <c r="D47" s="22">
        <v>15.9</v>
      </c>
      <c r="E47" s="23">
        <f t="shared" si="0"/>
        <v>225.85227272727272</v>
      </c>
      <c r="F47" s="24">
        <v>456.31</v>
      </c>
      <c r="G47" s="21">
        <v>1</v>
      </c>
      <c r="H47" s="25">
        <v>4.1790000000000003</v>
      </c>
      <c r="I47" s="26">
        <f t="shared" si="1"/>
        <v>9.1582476824965475</v>
      </c>
      <c r="J47" s="23">
        <f t="shared" si="2"/>
        <v>216.69402504477617</v>
      </c>
    </row>
    <row r="48" spans="1:10" ht="14.25" customHeight="1">
      <c r="A48" s="19" t="s">
        <v>242</v>
      </c>
      <c r="B48" s="20">
        <v>75.5</v>
      </c>
      <c r="C48" s="21">
        <v>1</v>
      </c>
      <c r="D48" s="22">
        <v>15.92</v>
      </c>
      <c r="E48" s="23">
        <f t="shared" si="0"/>
        <v>210.86092715231788</v>
      </c>
      <c r="F48" s="24">
        <v>475.63</v>
      </c>
      <c r="G48" s="21">
        <v>1</v>
      </c>
      <c r="H48" s="25">
        <v>2.6019999999999999</v>
      </c>
      <c r="I48" s="26">
        <f t="shared" si="1"/>
        <v>5.4706389420347747</v>
      </c>
      <c r="J48" s="23">
        <f t="shared" si="2"/>
        <v>205.3902882102831</v>
      </c>
    </row>
    <row r="49" spans="1:10" ht="14.25" customHeight="1">
      <c r="A49" s="19"/>
      <c r="B49" s="20"/>
      <c r="C49" s="21"/>
      <c r="D49" s="22"/>
      <c r="E49" s="23"/>
      <c r="F49" s="24"/>
      <c r="G49" s="21"/>
      <c r="H49" s="25"/>
      <c r="I49" s="26"/>
      <c r="J49" s="23"/>
    </row>
    <row r="51" spans="1:10">
      <c r="A51" s="28" t="s">
        <v>263</v>
      </c>
    </row>
  </sheetData>
  <mergeCells count="24">
    <mergeCell ref="A1:C3"/>
    <mergeCell ref="D1:I1"/>
    <mergeCell ref="D2:I2"/>
    <mergeCell ref="D3:I3"/>
    <mergeCell ref="A5:B5"/>
    <mergeCell ref="C5:D5"/>
    <mergeCell ref="A6:B6"/>
    <mergeCell ref="C6:D6"/>
    <mergeCell ref="A7:B7"/>
    <mergeCell ref="C7:D7"/>
    <mergeCell ref="A8:B8"/>
    <mergeCell ref="C8:D8"/>
    <mergeCell ref="I11:I12"/>
    <mergeCell ref="J11:J12"/>
    <mergeCell ref="B10:E10"/>
    <mergeCell ref="F10:I10"/>
    <mergeCell ref="A11:A12"/>
    <mergeCell ref="B11:B12"/>
    <mergeCell ref="C11:C12"/>
    <mergeCell ref="D11:D12"/>
    <mergeCell ref="E11:E12"/>
    <mergeCell ref="F11:F12"/>
    <mergeCell ref="G11:G12"/>
    <mergeCell ref="H11:H12"/>
  </mergeCells>
  <pageMargins left="0.23611111111111099" right="0.23611111111111099" top="0.196527777777778" bottom="0.196527777777778" header="0.511811023622047" footer="0.511811023622047"/>
  <pageSetup paperSize="9" scale="8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raw</vt:lpstr>
      <vt:lpstr>carbon</vt:lpstr>
      <vt:lpstr>carbon!Print_Area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Bede DAVIES</dc:creator>
  <dc:description/>
  <cp:lastModifiedBy>barille-l</cp:lastModifiedBy>
  <cp:revision>1</cp:revision>
  <dcterms:created xsi:type="dcterms:W3CDTF">2025-06-04T10:15:35Z</dcterms:created>
  <dcterms:modified xsi:type="dcterms:W3CDTF">2026-03-02T14:16:32Z</dcterms:modified>
  <dc:language>fr-FR</dc:language>
</cp:coreProperties>
</file>