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REWRITE\Field_data\Nantes_cloud\"/>
    </mc:Choice>
  </mc:AlternateContent>
  <bookViews>
    <workbookView xWindow="360" yWindow="15" windowWidth="20955" windowHeight="9720"/>
  </bookViews>
  <sheets>
    <sheet name="data" sheetId="4" r:id="rId1"/>
    <sheet name="raw" sheetId="1" r:id="rId2"/>
    <sheet name="seagrass biomass" sheetId="2" r:id="rId3"/>
    <sheet name="carbon" sheetId="5" r:id="rId4"/>
  </sheets>
  <definedNames>
    <definedName name="_xlnm._FilterDatabase" localSheetId="1" hidden="1">raw!$A$1:$O$100</definedName>
    <definedName name="_xlnm._FilterDatabase" localSheetId="2" hidden="1">'seagrass biomass'!$A$1:$F$179</definedName>
    <definedName name="_xlnm.Print_Area" localSheetId="3">carbon!$A$1:$J$22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I92" i="5" l="1"/>
  <c r="E92" i="5"/>
  <c r="I91" i="5"/>
  <c r="E91" i="5"/>
  <c r="J91" i="5" s="1"/>
  <c r="I90" i="5"/>
  <c r="E90" i="5"/>
  <c r="J89" i="5"/>
  <c r="I89" i="5"/>
  <c r="E89" i="5"/>
  <c r="I87" i="5"/>
  <c r="J87" i="5" s="1"/>
  <c r="E87" i="5"/>
  <c r="I86" i="5"/>
  <c r="E86" i="5"/>
  <c r="I85" i="5"/>
  <c r="E85" i="5"/>
  <c r="I84" i="5"/>
  <c r="E84" i="5"/>
  <c r="I82" i="5"/>
  <c r="J82" i="5"/>
  <c r="E82" i="5"/>
  <c r="I81" i="5"/>
  <c r="E81" i="5"/>
  <c r="J81" i="5" s="1"/>
  <c r="I80" i="5"/>
  <c r="E80" i="5"/>
  <c r="J80" i="5" s="1"/>
  <c r="I79" i="5"/>
  <c r="E79" i="5"/>
  <c r="J79" i="5" s="1"/>
  <c r="I78" i="5"/>
  <c r="J78" i="5" s="1"/>
  <c r="E78" i="5"/>
  <c r="I76" i="5"/>
  <c r="E76" i="5"/>
  <c r="I75" i="5"/>
  <c r="E75" i="5"/>
  <c r="J75" i="5" s="1"/>
  <c r="I74" i="5"/>
  <c r="J74" i="5" s="1"/>
  <c r="E74" i="5"/>
  <c r="I73" i="5"/>
  <c r="E73" i="5"/>
  <c r="J73" i="5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" i="4"/>
  <c r="I72" i="5"/>
  <c r="E7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" i="4"/>
  <c r="J72" i="5" l="1"/>
  <c r="J84" i="5"/>
  <c r="J85" i="5"/>
  <c r="J76" i="5"/>
  <c r="J86" i="5"/>
  <c r="J90" i="5"/>
  <c r="J9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" i="4"/>
  <c r="E114" i="2" l="1"/>
  <c r="E115" i="2"/>
  <c r="J83" i="1" l="1"/>
  <c r="J19" i="1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8" i="2"/>
  <c r="E89" i="2"/>
  <c r="E90" i="2"/>
  <c r="E91" i="2"/>
  <c r="E92" i="2"/>
  <c r="E93" i="2"/>
  <c r="E94" i="2"/>
  <c r="E95" i="2"/>
  <c r="E96" i="2"/>
  <c r="E97" i="2"/>
  <c r="E98" i="2"/>
  <c r="E99" i="2"/>
  <c r="E102" i="2"/>
  <c r="E103" i="2"/>
  <c r="E104" i="2"/>
  <c r="E105" i="2"/>
  <c r="E106" i="2"/>
  <c r="E107" i="2"/>
  <c r="E112" i="2"/>
  <c r="E113" i="2"/>
  <c r="E116" i="2"/>
  <c r="E117" i="2"/>
  <c r="E118" i="2"/>
  <c r="E119" i="2"/>
  <c r="E120" i="2"/>
  <c r="E121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6" i="2"/>
  <c r="E147" i="2"/>
  <c r="E150" i="2"/>
  <c r="E151" i="2"/>
  <c r="E152" i="2"/>
  <c r="E153" i="2"/>
  <c r="E154" i="2"/>
  <c r="E155" i="2"/>
  <c r="E156" i="2"/>
  <c r="E157" i="2"/>
  <c r="E160" i="2"/>
  <c r="E161" i="2"/>
  <c r="E162" i="2"/>
  <c r="E163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2" i="2"/>
  <c r="E3" i="2"/>
  <c r="E4" i="2"/>
  <c r="E5" i="2"/>
  <c r="E6" i="2"/>
  <c r="E7" i="2"/>
  <c r="P104" i="2"/>
  <c r="P103" i="2"/>
  <c r="P88" i="2"/>
  <c r="P87" i="2"/>
  <c r="P71" i="2"/>
  <c r="P44" i="2"/>
  <c r="P9" i="2"/>
  <c r="G62" i="4" l="1"/>
  <c r="G63" i="4"/>
  <c r="G86" i="4"/>
  <c r="G87" i="4"/>
  <c r="G132" i="4"/>
  <c r="G133" i="4"/>
  <c r="G144" i="4"/>
  <c r="G145" i="4"/>
  <c r="G146" i="4"/>
  <c r="G147" i="4"/>
  <c r="G148" i="4"/>
  <c r="G149" i="4"/>
  <c r="G150" i="4"/>
  <c r="G151" i="4"/>
  <c r="G152" i="4"/>
  <c r="G153" i="4"/>
  <c r="G156" i="4"/>
  <c r="G157" i="4"/>
  <c r="G158" i="4"/>
  <c r="G159" i="4"/>
  <c r="G176" i="4"/>
  <c r="G177" i="4"/>
  <c r="G192" i="4"/>
  <c r="G193" i="4"/>
  <c r="G198" i="4"/>
  <c r="G199" i="4"/>
  <c r="G10" i="4"/>
  <c r="G1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" i="4"/>
  <c r="I70" i="5"/>
  <c r="E70" i="5"/>
  <c r="I69" i="5"/>
  <c r="E69" i="5"/>
  <c r="I68" i="5"/>
  <c r="E68" i="5"/>
  <c r="I67" i="5"/>
  <c r="E67" i="5"/>
  <c r="J67" i="5" s="1"/>
  <c r="I66" i="5"/>
  <c r="E66" i="5"/>
  <c r="J66" i="5" s="1"/>
  <c r="I65" i="5"/>
  <c r="E65" i="5"/>
  <c r="J65" i="5" s="1"/>
  <c r="I64" i="5"/>
  <c r="J64" i="5" s="1"/>
  <c r="E64" i="5"/>
  <c r="I62" i="5"/>
  <c r="E62" i="5"/>
  <c r="J62" i="5" s="1"/>
  <c r="I61" i="5"/>
  <c r="E61" i="5"/>
  <c r="I60" i="5"/>
  <c r="E60" i="5"/>
  <c r="J60" i="5" s="1"/>
  <c r="I59" i="5"/>
  <c r="E59" i="5"/>
  <c r="I58" i="5"/>
  <c r="E58" i="5"/>
  <c r="J58" i="5" s="1"/>
  <c r="I57" i="5"/>
  <c r="E57" i="5"/>
  <c r="J57" i="5" s="1"/>
  <c r="I56" i="5"/>
  <c r="E56" i="5"/>
  <c r="J56" i="5" s="1"/>
  <c r="I54" i="5"/>
  <c r="E54" i="5"/>
  <c r="J54" i="5" s="1"/>
  <c r="I53" i="5"/>
  <c r="E53" i="5"/>
  <c r="I52" i="5"/>
  <c r="E52" i="5"/>
  <c r="I51" i="5"/>
  <c r="E51" i="5"/>
  <c r="I50" i="5"/>
  <c r="E50" i="5"/>
  <c r="I49" i="5"/>
  <c r="E49" i="5"/>
  <c r="I47" i="5"/>
  <c r="E47" i="5"/>
  <c r="J47" i="5" s="1"/>
  <c r="I46" i="5"/>
  <c r="E46" i="5"/>
  <c r="J46" i="5" s="1"/>
  <c r="I45" i="5"/>
  <c r="E45" i="5"/>
  <c r="J45" i="5" s="1"/>
  <c r="I44" i="5"/>
  <c r="E44" i="5"/>
  <c r="J44" i="5" s="1"/>
  <c r="I43" i="5"/>
  <c r="E43" i="5"/>
  <c r="J43" i="5" s="1"/>
  <c r="I42" i="5"/>
  <c r="E42" i="5"/>
  <c r="I40" i="5"/>
  <c r="E40" i="5"/>
  <c r="I39" i="5"/>
  <c r="E39" i="5"/>
  <c r="J39" i="5" s="1"/>
  <c r="I38" i="5"/>
  <c r="E38" i="5"/>
  <c r="I37" i="5"/>
  <c r="E37" i="5"/>
  <c r="J37" i="5" s="1"/>
  <c r="I36" i="5"/>
  <c r="E36" i="5"/>
  <c r="J36" i="5" s="1"/>
  <c r="I35" i="5"/>
  <c r="E35" i="5"/>
  <c r="J35" i="5" s="1"/>
  <c r="I33" i="5"/>
  <c r="E33" i="5"/>
  <c r="J33" i="5" s="1"/>
  <c r="I32" i="5"/>
  <c r="E32" i="5"/>
  <c r="J32" i="5" s="1"/>
  <c r="I31" i="5"/>
  <c r="E31" i="5"/>
  <c r="J31" i="5" s="1"/>
  <c r="I30" i="5"/>
  <c r="E30" i="5"/>
  <c r="J30" i="5" s="1"/>
  <c r="I29" i="5"/>
  <c r="E29" i="5"/>
  <c r="I28" i="5"/>
  <c r="E28" i="5"/>
  <c r="J28" i="5" s="1"/>
  <c r="I26" i="5"/>
  <c r="E26" i="5"/>
  <c r="J26" i="5" s="1"/>
  <c r="I25" i="5"/>
  <c r="E25" i="5"/>
  <c r="J25" i="5" s="1"/>
  <c r="I24" i="5"/>
  <c r="E24" i="5"/>
  <c r="J24" i="5" s="1"/>
  <c r="I23" i="5"/>
  <c r="E23" i="5"/>
  <c r="J23" i="5" s="1"/>
  <c r="I22" i="5"/>
  <c r="E22" i="5"/>
  <c r="J22" i="5" s="1"/>
  <c r="I21" i="5"/>
  <c r="J21" i="5" s="1"/>
  <c r="E21" i="5"/>
  <c r="I19" i="5"/>
  <c r="E19" i="5"/>
  <c r="J19" i="5" s="1"/>
  <c r="I18" i="5"/>
  <c r="J18" i="5" s="1"/>
  <c r="E18" i="5"/>
  <c r="I17" i="5"/>
  <c r="E17" i="5"/>
  <c r="I16" i="5"/>
  <c r="E16" i="5"/>
  <c r="I15" i="5"/>
  <c r="E15" i="5"/>
  <c r="J15" i="5" s="1"/>
  <c r="I14" i="5"/>
  <c r="E14" i="5"/>
  <c r="J14" i="5" s="1"/>
  <c r="J16" i="5" l="1"/>
  <c r="J49" i="5"/>
  <c r="J59" i="5"/>
  <c r="J38" i="5"/>
  <c r="J50" i="5"/>
  <c r="J17" i="5"/>
  <c r="J29" i="5"/>
  <c r="J51" i="5"/>
  <c r="J61" i="5"/>
  <c r="J40" i="5"/>
  <c r="J52" i="5"/>
  <c r="J42" i="5"/>
  <c r="J53" i="5"/>
  <c r="J70" i="5"/>
  <c r="J69" i="5"/>
  <c r="J68" i="5"/>
  <c r="K86" i="1"/>
  <c r="G9" i="4" s="1"/>
  <c r="J86" i="1"/>
  <c r="G8" i="4" s="1"/>
  <c r="K85" i="1"/>
  <c r="G7" i="4" s="1"/>
  <c r="J85" i="1"/>
  <c r="G6" i="4" s="1"/>
  <c r="K84" i="1"/>
  <c r="G5" i="4" s="1"/>
  <c r="J84" i="1"/>
  <c r="G4" i="4" s="1"/>
  <c r="L83" i="1"/>
  <c r="K83" i="1"/>
  <c r="G3" i="4" s="1"/>
  <c r="G2" i="4"/>
  <c r="K82" i="1"/>
  <c r="G59" i="4" s="1"/>
  <c r="J82" i="1"/>
  <c r="G58" i="4" s="1"/>
  <c r="K81" i="1"/>
  <c r="G13" i="4" s="1"/>
  <c r="J81" i="1"/>
  <c r="G12" i="4" s="1"/>
  <c r="L80" i="1"/>
  <c r="K80" i="1"/>
  <c r="G67" i="4" s="1"/>
  <c r="J80" i="1"/>
  <c r="G66" i="4" s="1"/>
  <c r="K79" i="1"/>
  <c r="G15" i="4" s="1"/>
  <c r="J79" i="1"/>
  <c r="G14" i="4" s="1"/>
  <c r="K78" i="1"/>
  <c r="G61" i="4" s="1"/>
  <c r="J78" i="1"/>
  <c r="G60" i="4" s="1"/>
  <c r="K77" i="1"/>
  <c r="G69" i="4" s="1"/>
  <c r="J77" i="1"/>
  <c r="G68" i="4" s="1"/>
  <c r="K76" i="1"/>
  <c r="G17" i="4" s="1"/>
  <c r="J76" i="1"/>
  <c r="G16" i="4" s="1"/>
  <c r="L75" i="1"/>
  <c r="K75" i="1"/>
  <c r="G25" i="4" s="1"/>
  <c r="J75" i="1"/>
  <c r="G24" i="4" s="1"/>
  <c r="K74" i="1"/>
  <c r="G75" i="4" s="1"/>
  <c r="J74" i="1"/>
  <c r="G74" i="4" s="1"/>
  <c r="L73" i="1"/>
  <c r="K73" i="1"/>
  <c r="G23" i="4" s="1"/>
  <c r="J73" i="1"/>
  <c r="G22" i="4" s="1"/>
  <c r="K72" i="1"/>
  <c r="G21" i="4" s="1"/>
  <c r="J72" i="1"/>
  <c r="G20" i="4" s="1"/>
  <c r="K71" i="1"/>
  <c r="G65" i="4" s="1"/>
  <c r="J71" i="1"/>
  <c r="G64" i="4" s="1"/>
  <c r="K70" i="1"/>
  <c r="G19" i="4" s="1"/>
  <c r="J70" i="1"/>
  <c r="G18" i="4" s="1"/>
  <c r="K69" i="1"/>
  <c r="G71" i="4" s="1"/>
  <c r="J69" i="1"/>
  <c r="G70" i="4" s="1"/>
  <c r="K68" i="1"/>
  <c r="G85" i="4" s="1"/>
  <c r="J68" i="1"/>
  <c r="G84" i="4" s="1"/>
  <c r="K67" i="1"/>
  <c r="G55" i="4" s="1"/>
  <c r="J67" i="1"/>
  <c r="G54" i="4" s="1"/>
  <c r="K66" i="1"/>
  <c r="G91" i="4" s="1"/>
  <c r="J66" i="1"/>
  <c r="G90" i="4" s="1"/>
  <c r="K65" i="1"/>
  <c r="G53" i="4" s="1"/>
  <c r="J65" i="1"/>
  <c r="G52" i="4" s="1"/>
  <c r="K64" i="1"/>
  <c r="G51" i="4" s="1"/>
  <c r="J64" i="1"/>
  <c r="G50" i="4" s="1"/>
  <c r="K63" i="1"/>
  <c r="G43" i="4" s="1"/>
  <c r="J63" i="1"/>
  <c r="G42" i="4" s="1"/>
  <c r="L62" i="1"/>
  <c r="K62" i="1"/>
  <c r="G29" i="4" s="1"/>
  <c r="J62" i="1"/>
  <c r="G28" i="4" s="1"/>
  <c r="K61" i="1"/>
  <c r="G73" i="4" s="1"/>
  <c r="J61" i="1"/>
  <c r="G72" i="4" s="1"/>
  <c r="K60" i="1"/>
  <c r="G31" i="4" s="1"/>
  <c r="J60" i="1"/>
  <c r="G30" i="4" s="1"/>
  <c r="K59" i="1"/>
  <c r="G33" i="4" s="1"/>
  <c r="J59" i="1"/>
  <c r="G32" i="4" s="1"/>
  <c r="K58" i="1"/>
  <c r="G57" i="4" s="1"/>
  <c r="J58" i="1"/>
  <c r="G56" i="4" s="1"/>
  <c r="K57" i="1"/>
  <c r="G41" i="4" s="1"/>
  <c r="J57" i="1"/>
  <c r="G40" i="4" s="1"/>
  <c r="L56" i="1"/>
  <c r="K56" i="1"/>
  <c r="G81" i="4" s="1"/>
  <c r="J56" i="1"/>
  <c r="G80" i="4" s="1"/>
  <c r="L55" i="1"/>
  <c r="K55" i="1"/>
  <c r="G39" i="4" s="1"/>
  <c r="J55" i="1"/>
  <c r="G38" i="4" s="1"/>
  <c r="K54" i="1"/>
  <c r="G79" i="4" s="1"/>
  <c r="J54" i="1"/>
  <c r="G78" i="4" s="1"/>
  <c r="K53" i="1"/>
  <c r="G37" i="4" s="1"/>
  <c r="J53" i="1"/>
  <c r="G36" i="4" s="1"/>
  <c r="K52" i="1"/>
  <c r="G77" i="4" s="1"/>
  <c r="J52" i="1"/>
  <c r="G76" i="4" s="1"/>
  <c r="L51" i="1"/>
  <c r="K51" i="1"/>
  <c r="G27" i="4" s="1"/>
  <c r="J51" i="1"/>
  <c r="G26" i="4" s="1"/>
  <c r="K50" i="1"/>
  <c r="G35" i="4" s="1"/>
  <c r="J50" i="1"/>
  <c r="G34" i="4" s="1"/>
  <c r="K49" i="1"/>
  <c r="G83" i="4" s="1"/>
  <c r="J49" i="1"/>
  <c r="G82" i="4" s="1"/>
  <c r="K48" i="1"/>
  <c r="G89" i="4" s="1"/>
  <c r="J48" i="1"/>
  <c r="G88" i="4" s="1"/>
  <c r="K47" i="1"/>
  <c r="G45" i="4" s="1"/>
  <c r="J47" i="1"/>
  <c r="G44" i="4" s="1"/>
  <c r="K46" i="1"/>
  <c r="G47" i="4" s="1"/>
  <c r="J46" i="1"/>
  <c r="G46" i="4" s="1"/>
  <c r="K45" i="1"/>
  <c r="G93" i="4" s="1"/>
  <c r="J45" i="1"/>
  <c r="G92" i="4" s="1"/>
  <c r="L44" i="1"/>
  <c r="K44" i="1"/>
  <c r="G49" i="4" s="1"/>
  <c r="J44" i="1"/>
  <c r="G48" i="4" s="1"/>
  <c r="K43" i="1"/>
  <c r="G141" i="4" s="1"/>
  <c r="J43" i="1"/>
  <c r="G140" i="4" s="1"/>
  <c r="K42" i="1"/>
  <c r="G171" i="4" s="1"/>
  <c r="J42" i="1"/>
  <c r="G170" i="4" s="1"/>
  <c r="K41" i="1"/>
  <c r="G109" i="4" s="1"/>
  <c r="J41" i="1"/>
  <c r="G108" i="4" s="1"/>
  <c r="K40" i="1"/>
  <c r="G107" i="4" s="1"/>
  <c r="J40" i="1"/>
  <c r="G106" i="4" s="1"/>
  <c r="K39" i="1"/>
  <c r="G169" i="4" s="1"/>
  <c r="J39" i="1"/>
  <c r="G168" i="4" s="1"/>
  <c r="K38" i="1"/>
  <c r="G123" i="4" s="1"/>
  <c r="J38" i="1"/>
  <c r="G122" i="4" s="1"/>
  <c r="K37" i="1"/>
  <c r="G125" i="4" s="1"/>
  <c r="J37" i="1"/>
  <c r="G124" i="4" s="1"/>
  <c r="K36" i="1"/>
  <c r="G185" i="4" s="1"/>
  <c r="J36" i="1"/>
  <c r="G184" i="4" s="1"/>
  <c r="K35" i="1"/>
  <c r="G139" i="4" s="1"/>
  <c r="J35" i="1"/>
  <c r="G138" i="4" s="1"/>
  <c r="K34" i="1"/>
  <c r="G155" i="4" s="1"/>
  <c r="J34" i="1"/>
  <c r="G154" i="4" s="1"/>
  <c r="K33" i="1"/>
  <c r="G197" i="4" s="1"/>
  <c r="J33" i="1"/>
  <c r="G196" i="4" s="1"/>
  <c r="K32" i="1"/>
  <c r="G195" i="4" s="1"/>
  <c r="J32" i="1"/>
  <c r="G194" i="4" s="1"/>
  <c r="K31" i="1"/>
  <c r="G137" i="4" s="1"/>
  <c r="J31" i="1"/>
  <c r="G136" i="4" s="1"/>
  <c r="K30" i="1"/>
  <c r="G183" i="4" s="1"/>
  <c r="J30" i="1"/>
  <c r="G182" i="4" s="1"/>
  <c r="K29" i="1"/>
  <c r="G121" i="4" s="1"/>
  <c r="J29" i="1"/>
  <c r="G120" i="4" s="1"/>
  <c r="K28" i="1"/>
  <c r="G167" i="4" s="1"/>
  <c r="J28" i="1"/>
  <c r="G166" i="4" s="1"/>
  <c r="K27" i="1"/>
  <c r="G105" i="4" s="1"/>
  <c r="J27" i="1"/>
  <c r="G104" i="4" s="1"/>
  <c r="K26" i="1"/>
  <c r="G103" i="4" s="1"/>
  <c r="J26" i="1"/>
  <c r="G102" i="4" s="1"/>
  <c r="K25" i="1"/>
  <c r="G165" i="4" s="1"/>
  <c r="J25" i="1"/>
  <c r="G164" i="4" s="1"/>
  <c r="K24" i="1"/>
  <c r="G119" i="4" s="1"/>
  <c r="J24" i="1"/>
  <c r="G118" i="4" s="1"/>
  <c r="K23" i="1"/>
  <c r="G181" i="4" s="1"/>
  <c r="J23" i="1"/>
  <c r="G180" i="4" s="1"/>
  <c r="K22" i="1"/>
  <c r="G179" i="4" s="1"/>
  <c r="J22" i="1"/>
  <c r="G178" i="4" s="1"/>
  <c r="K21" i="1"/>
  <c r="G135" i="4" s="1"/>
  <c r="J21" i="1"/>
  <c r="G134" i="4" s="1"/>
  <c r="K20" i="1"/>
  <c r="G117" i="4" s="1"/>
  <c r="J20" i="1"/>
  <c r="G116" i="4" s="1"/>
  <c r="K19" i="1"/>
  <c r="G163" i="4" s="1"/>
  <c r="G162" i="4"/>
  <c r="K18" i="1"/>
  <c r="G101" i="4" s="1"/>
  <c r="J18" i="1"/>
  <c r="G100" i="4" s="1"/>
  <c r="K17" i="1"/>
  <c r="G99" i="4" s="1"/>
  <c r="J17" i="1"/>
  <c r="G98" i="4" s="1"/>
  <c r="K16" i="1"/>
  <c r="G161" i="4" s="1"/>
  <c r="J16" i="1"/>
  <c r="G160" i="4" s="1"/>
  <c r="K15" i="1"/>
  <c r="G115" i="4" s="1"/>
  <c r="J15" i="1"/>
  <c r="G114" i="4" s="1"/>
  <c r="K14" i="1"/>
  <c r="G131" i="4" s="1"/>
  <c r="J14" i="1"/>
  <c r="G130" i="4" s="1"/>
  <c r="K13" i="1"/>
  <c r="G191" i="4" s="1"/>
  <c r="J13" i="1"/>
  <c r="G190" i="4" s="1"/>
  <c r="K12" i="1"/>
  <c r="G189" i="4" s="1"/>
  <c r="J12" i="1"/>
  <c r="G188" i="4" s="1"/>
  <c r="K11" i="1"/>
  <c r="G129" i="4" s="1"/>
  <c r="J11" i="1"/>
  <c r="G128" i="4" s="1"/>
  <c r="K10" i="1"/>
  <c r="G173" i="4" s="1"/>
  <c r="J10" i="1"/>
  <c r="G172" i="4" s="1"/>
  <c r="K9" i="1"/>
  <c r="G175" i="4" s="1"/>
  <c r="J9" i="1"/>
  <c r="G174" i="4" s="1"/>
  <c r="K8" i="1"/>
  <c r="G113" i="4" s="1"/>
  <c r="J8" i="1"/>
  <c r="G112" i="4" s="1"/>
  <c r="K7" i="1"/>
  <c r="G97" i="4" s="1"/>
  <c r="J7" i="1"/>
  <c r="G96" i="4" s="1"/>
  <c r="K6" i="1"/>
  <c r="G95" i="4" s="1"/>
  <c r="J6" i="1"/>
  <c r="G94" i="4" s="1"/>
  <c r="K5" i="1"/>
  <c r="G111" i="4" s="1"/>
  <c r="J5" i="1"/>
  <c r="G110" i="4" s="1"/>
  <c r="K4" i="1"/>
  <c r="G127" i="4" s="1"/>
  <c r="J4" i="1"/>
  <c r="G126" i="4" s="1"/>
  <c r="K3" i="1"/>
  <c r="G187" i="4" s="1"/>
  <c r="J3" i="1"/>
  <c r="G186" i="4" s="1"/>
  <c r="K2" i="1"/>
  <c r="G143" i="4" s="1"/>
  <c r="J2" i="1"/>
  <c r="G142" i="4" s="1"/>
</calcChain>
</file>

<file path=xl/comments1.xml><?xml version="1.0" encoding="utf-8"?>
<comments xmlns="http://schemas.openxmlformats.org/spreadsheetml/2006/main">
  <authors>
    <author>tc={50A84D78-0949-442C-8B45-B42A1C631C90}</author>
    <author>tc={B1E548A4-451D-442C-8170-46B83715A7EA}</author>
    <author>tc={750D5695-E24D-437A-86B5-81CD1CFB106D}</author>
    <author>tc={E50ACC29-A39A-45E8-99D8-DB2F209B5289}</author>
    <author>tc={E989AD93-086E-4B84-BCB0-75F70F31E996}</author>
  </authors>
  <commentList>
    <comment ref="E6" authorId="0" shapeId="0">
      <text>
        <r>
          <rPr>
            <b/>
            <sz val="9"/>
            <rFont val="Tahoma"/>
            <family val="2"/>
          </rPr>
          <t>Jim de Fouw:</t>
        </r>
        <r>
          <rPr>
            <sz val="9"/>
            <rFont val="Tahoma"/>
            <family val="2"/>
          </rPr>
          <t xml:space="preserve">
Location just on dyke, adjusted few meters to east
</t>
        </r>
      </text>
    </comment>
    <comment ref="E7" authorId="1" shapeId="0">
      <text>
        <r>
          <rPr>
            <b/>
            <sz val="9"/>
            <rFont val="Tahoma"/>
            <family val="2"/>
          </rPr>
          <t>Jim de Fouw:</t>
        </r>
        <r>
          <rPr>
            <sz val="9"/>
            <rFont val="Tahoma"/>
            <family val="2"/>
          </rPr>
          <t xml:space="preserve">
Location just on dyke, adjusted few meters to east
</t>
        </r>
      </text>
    </comment>
    <comment ref="G11" authorId="2" shapeId="0">
      <text>
        <r>
          <rPr>
            <b/>
            <sz val="9"/>
            <rFont val="Tahoma"/>
            <family val="2"/>
          </rPr>
          <t>Jim de Fouw:</t>
        </r>
        <r>
          <rPr>
            <sz val="9"/>
            <rFont val="Tahoma"/>
            <family val="2"/>
          </rPr>
          <t xml:space="preserve">
?check booklet
</t>
        </r>
      </text>
    </comment>
    <comment ref="G19" authorId="3" shapeId="0">
      <text>
        <r>
          <rPr>
            <b/>
            <sz val="9"/>
            <rFont val="Tahoma"/>
            <family val="2"/>
          </rPr>
          <t>Jim de Fouw:</t>
        </r>
        <r>
          <rPr>
            <sz val="9"/>
            <rFont val="Tahoma"/>
            <family val="2"/>
          </rPr>
          <t xml:space="preserve">
No number in booklet
</t>
        </r>
      </text>
    </comment>
    <comment ref="G40" authorId="4" shapeId="0">
      <text>
        <r>
          <rPr>
            <b/>
            <sz val="9"/>
            <rFont val="Tahoma"/>
            <family val="2"/>
          </rPr>
          <t>Jim de Fouw:</t>
        </r>
        <r>
          <rPr>
            <sz val="9"/>
            <rFont val="Tahoma"/>
            <family val="2"/>
          </rPr>
          <t xml:space="preserve">
No number in booklet
</t>
        </r>
      </text>
    </comment>
  </commentList>
</comments>
</file>

<file path=xl/sharedStrings.xml><?xml version="1.0" encoding="utf-8"?>
<sst xmlns="http://schemas.openxmlformats.org/spreadsheetml/2006/main" count="2091" uniqueCount="557">
  <si>
    <t>type</t>
  </si>
  <si>
    <t>name</t>
  </si>
  <si>
    <t>site</t>
  </si>
  <si>
    <t>longitude</t>
  </si>
  <si>
    <t>latitude</t>
  </si>
  <si>
    <t>poskey.benthos</t>
  </si>
  <si>
    <t>poskey.sediment</t>
  </si>
  <si>
    <t>picture</t>
  </si>
  <si>
    <t>habitat</t>
  </si>
  <si>
    <t>sorting lab</t>
  </si>
  <si>
    <t>seagrass.cover.Laurant</t>
  </si>
  <si>
    <t>spectral camera</t>
  </si>
  <si>
    <t>remark</t>
  </si>
  <si>
    <t>grid</t>
  </si>
  <si>
    <t>RG 25</t>
  </si>
  <si>
    <t>rewilded</t>
  </si>
  <si>
    <t>2025048</t>
  </si>
  <si>
    <t>P7150059</t>
  </si>
  <si>
    <t>algae</t>
  </si>
  <si>
    <t>aveiro</t>
  </si>
  <si>
    <t>random</t>
  </si>
  <si>
    <t>RR 47</t>
  </si>
  <si>
    <t>2025043</t>
  </si>
  <si>
    <t>P7150061</t>
  </si>
  <si>
    <t>seagrass</t>
  </si>
  <si>
    <t>RG 17</t>
  </si>
  <si>
    <t>2025047</t>
  </si>
  <si>
    <t>P7150062</t>
  </si>
  <si>
    <t>no</t>
  </si>
  <si>
    <t>RG 9</t>
  </si>
  <si>
    <t>2025041</t>
  </si>
  <si>
    <t>P7150063</t>
  </si>
  <si>
    <t>RG 1</t>
  </si>
  <si>
    <t>2025050</t>
  </si>
  <si>
    <t>P7150065</t>
  </si>
  <si>
    <t>RG 2</t>
  </si>
  <si>
    <t>2025059</t>
  </si>
  <si>
    <t>P7150066</t>
  </si>
  <si>
    <t>bare</t>
  </si>
  <si>
    <t>RG 10</t>
  </si>
  <si>
    <t>2025056</t>
  </si>
  <si>
    <t>P7150067</t>
  </si>
  <si>
    <t>RR 41</t>
  </si>
  <si>
    <t>2025060</t>
  </si>
  <si>
    <t>P7150068</t>
  </si>
  <si>
    <t>RR 40</t>
  </si>
  <si>
    <t>2025045</t>
  </si>
  <si>
    <t>P7150069</t>
  </si>
  <si>
    <t>RG 18</t>
  </si>
  <si>
    <t>P7150070</t>
  </si>
  <si>
    <t>RR 48</t>
  </si>
  <si>
    <t>2025042</t>
  </si>
  <si>
    <t>P7150071</t>
  </si>
  <si>
    <t>RR 49</t>
  </si>
  <si>
    <t>2025054</t>
  </si>
  <si>
    <t>P7150072</t>
  </si>
  <si>
    <t>RG 19</t>
  </si>
  <si>
    <t>2025046</t>
  </si>
  <si>
    <t>P7150073</t>
  </si>
  <si>
    <t>RG 11</t>
  </si>
  <si>
    <t>2025051</t>
  </si>
  <si>
    <t>P7150074</t>
  </si>
  <si>
    <t>RR 34</t>
  </si>
  <si>
    <t>2025053</t>
  </si>
  <si>
    <t>P7150075</t>
  </si>
  <si>
    <t>RG 3</t>
  </si>
  <si>
    <t>2025044</t>
  </si>
  <si>
    <t>P7150076</t>
  </si>
  <si>
    <t>edge bare and seagrass</t>
  </si>
  <si>
    <t>RG 4</t>
  </si>
  <si>
    <t>2025055</t>
  </si>
  <si>
    <t>P7150077</t>
  </si>
  <si>
    <t>RR 35</t>
  </si>
  <si>
    <t>20250?</t>
  </si>
  <si>
    <t>P7150078</t>
  </si>
  <si>
    <t>RG 12</t>
  </si>
  <si>
    <t>2025052</t>
  </si>
  <si>
    <t>Laurant</t>
  </si>
  <si>
    <t>AVE0-AVE20</t>
  </si>
  <si>
    <t>info spectral cam notes Laurant</t>
  </si>
  <si>
    <t>RG 21</t>
  </si>
  <si>
    <t>2025061</t>
  </si>
  <si>
    <t>P7150079</t>
  </si>
  <si>
    <t>RR 43</t>
  </si>
  <si>
    <t>2025057</t>
  </si>
  <si>
    <t>P7150080</t>
  </si>
  <si>
    <t>RR 44</t>
  </si>
  <si>
    <t>2025072</t>
  </si>
  <si>
    <t>P7150081</t>
  </si>
  <si>
    <t>RG 13</t>
  </si>
  <si>
    <t>2025075</t>
  </si>
  <si>
    <t>P7150082</t>
  </si>
  <si>
    <t>A1-A20</t>
  </si>
  <si>
    <t>RR 36</t>
  </si>
  <si>
    <t>2025080</t>
  </si>
  <si>
    <t>P7150083</t>
  </si>
  <si>
    <t>AVE21-AVE40</t>
  </si>
  <si>
    <t>RG 5</t>
  </si>
  <si>
    <t>2025052?</t>
  </si>
  <si>
    <t>P7150084</t>
  </si>
  <si>
    <t>AVE41-AVE60</t>
  </si>
  <si>
    <t>RG 6</t>
  </si>
  <si>
    <t>2025070</t>
  </si>
  <si>
    <t>P7150085</t>
  </si>
  <si>
    <t>A21-A40</t>
  </si>
  <si>
    <t>RR 37</t>
  </si>
  <si>
    <t>2025073</t>
  </si>
  <si>
    <t>P7150086</t>
  </si>
  <si>
    <t>RG 14</t>
  </si>
  <si>
    <t>2025063</t>
  </si>
  <si>
    <t>P7150087</t>
  </si>
  <si>
    <t>RR 45</t>
  </si>
  <si>
    <t>2025079</t>
  </si>
  <si>
    <t>P7150088</t>
  </si>
  <si>
    <t>A161-A180</t>
  </si>
  <si>
    <t>RG 22</t>
  </si>
  <si>
    <t>2025078</t>
  </si>
  <si>
    <t>P7150089</t>
  </si>
  <si>
    <t>A181-A200</t>
  </si>
  <si>
    <t>RR 51</t>
  </si>
  <si>
    <t>2025074</t>
  </si>
  <si>
    <t>P7150090</t>
  </si>
  <si>
    <t>RR 52</t>
  </si>
  <si>
    <t>2025066</t>
  </si>
  <si>
    <t>P7150091</t>
  </si>
  <si>
    <t>RG 31</t>
  </si>
  <si>
    <t>2025071</t>
  </si>
  <si>
    <t>P7160092</t>
  </si>
  <si>
    <t>RG 23</t>
  </si>
  <si>
    <t>2025110</t>
  </si>
  <si>
    <t>P7160093</t>
  </si>
  <si>
    <t>A141-A160</t>
  </si>
  <si>
    <t>RR 46</t>
  </si>
  <si>
    <t>2025100</t>
  </si>
  <si>
    <t>P7160094</t>
  </si>
  <si>
    <t>A101-A120</t>
  </si>
  <si>
    <t>RG 16</t>
  </si>
  <si>
    <t>2025096</t>
  </si>
  <si>
    <t>P7160095</t>
  </si>
  <si>
    <t>A121-A140</t>
  </si>
  <si>
    <t>RG 15</t>
  </si>
  <si>
    <t>2025095</t>
  </si>
  <si>
    <t>P7160096</t>
  </si>
  <si>
    <t>RR 38</t>
  </si>
  <si>
    <t>2025062</t>
  </si>
  <si>
    <t>P7160102</t>
  </si>
  <si>
    <t>RG 7</t>
  </si>
  <si>
    <t>P7160103</t>
  </si>
  <si>
    <t>A41-A60</t>
  </si>
  <si>
    <t>RG 8</t>
  </si>
  <si>
    <t>2025107</t>
  </si>
  <si>
    <t>P7160104</t>
  </si>
  <si>
    <t>A61-A80</t>
  </si>
  <si>
    <t>RR 39</t>
  </si>
  <si>
    <t>2025077</t>
  </si>
  <si>
    <t>P7160112</t>
  </si>
  <si>
    <t>RG 24</t>
  </si>
  <si>
    <t>2025108</t>
  </si>
  <si>
    <t>P7160113</t>
  </si>
  <si>
    <t>NG 28</t>
  </si>
  <si>
    <t>natural</t>
  </si>
  <si>
    <t>2025182</t>
  </si>
  <si>
    <t>P7170125</t>
  </si>
  <si>
    <t>NR 53</t>
  </si>
  <si>
    <t>2025171</t>
  </si>
  <si>
    <t>P7170126</t>
  </si>
  <si>
    <t>NG 27</t>
  </si>
  <si>
    <t>2025176</t>
  </si>
  <si>
    <t>P7170127</t>
  </si>
  <si>
    <t>NG 26</t>
  </si>
  <si>
    <t>2025170</t>
  </si>
  <si>
    <t>P7170128</t>
  </si>
  <si>
    <t>NR 51</t>
  </si>
  <si>
    <t>2025162</t>
  </si>
  <si>
    <t>P7170129</t>
  </si>
  <si>
    <t>NR 48</t>
  </si>
  <si>
    <t>P7170152</t>
  </si>
  <si>
    <t>NG 21</t>
  </si>
  <si>
    <t>P7170153</t>
  </si>
  <si>
    <t>gesampled door Loran, door Jim gemarkeerd als marsh (verwarring bij wisseling van teams)</t>
  </si>
  <si>
    <t>NG 17</t>
  </si>
  <si>
    <t>P7170154</t>
  </si>
  <si>
    <t>NR 45</t>
  </si>
  <si>
    <t>P7170155</t>
  </si>
  <si>
    <t>NG 22</t>
  </si>
  <si>
    <t>P7170156</t>
  </si>
  <si>
    <t>NR 46</t>
  </si>
  <si>
    <t>P7170157</t>
  </si>
  <si>
    <t>NG 23</t>
  </si>
  <si>
    <t>P7170159</t>
  </si>
  <si>
    <t>NR 47</t>
  </si>
  <si>
    <t>P7170160</t>
  </si>
  <si>
    <t>NG 24</t>
  </si>
  <si>
    <t>P7170161</t>
  </si>
  <si>
    <t>NG 32</t>
  </si>
  <si>
    <t>P7170164</t>
  </si>
  <si>
    <t>AVEI2 201-220</t>
  </si>
  <si>
    <t>sandy</t>
  </si>
  <si>
    <t>NG 20</t>
  </si>
  <si>
    <t>2025183</t>
  </si>
  <si>
    <t>P7170170</t>
  </si>
  <si>
    <t>NG 19</t>
  </si>
  <si>
    <t>2025181</t>
  </si>
  <si>
    <t>P7170171</t>
  </si>
  <si>
    <t>NR 43</t>
  </si>
  <si>
    <t>2025165</t>
  </si>
  <si>
    <t>P7170172</t>
  </si>
  <si>
    <t>AVEI2 361-380</t>
  </si>
  <si>
    <t>NG 18</t>
  </si>
  <si>
    <t>2025185</t>
  </si>
  <si>
    <t>P7170173</t>
  </si>
  <si>
    <t>AVEI2 301-320</t>
  </si>
  <si>
    <t>NG 25</t>
  </si>
  <si>
    <t>P7170169</t>
  </si>
  <si>
    <t>AVEI2 281-300</t>
  </si>
  <si>
    <t>NG 29</t>
  </si>
  <si>
    <t>P7170168</t>
  </si>
  <si>
    <t>gesampled door Loran, door Jim gemarkeerd als marsh</t>
  </si>
  <si>
    <t>NG 30</t>
  </si>
  <si>
    <t>P7170167</t>
  </si>
  <si>
    <t>AVI2 261-280</t>
  </si>
  <si>
    <t>NR 52</t>
  </si>
  <si>
    <t>P7170166</t>
  </si>
  <si>
    <t>AVEI2 241-260</t>
  </si>
  <si>
    <t>NG 31</t>
  </si>
  <si>
    <t>P7170165</t>
  </si>
  <si>
    <t>AVEI2 221-240</t>
  </si>
  <si>
    <t>NR 49</t>
  </si>
  <si>
    <t>P7170158</t>
  </si>
  <si>
    <t>NR 42</t>
  </si>
  <si>
    <t>2025167</t>
  </si>
  <si>
    <t>P7170174</t>
  </si>
  <si>
    <t>NG 13</t>
  </si>
  <si>
    <t>P7170177</t>
  </si>
  <si>
    <t>NR 39</t>
  </si>
  <si>
    <t>P7170178</t>
  </si>
  <si>
    <t>NG 14</t>
  </si>
  <si>
    <t>P7170179</t>
  </si>
  <si>
    <t>NG 15</t>
  </si>
  <si>
    <t>P7170180</t>
  </si>
  <si>
    <t>AVEI2 401-419</t>
  </si>
  <si>
    <t>AVEI2 341-360</t>
  </si>
  <si>
    <t>NR 44</t>
  </si>
  <si>
    <t>P7170181</t>
  </si>
  <si>
    <t>AVEI2 321-341</t>
  </si>
  <si>
    <t>NG 16</t>
  </si>
  <si>
    <t>P7170182</t>
  </si>
  <si>
    <t>AVI2 381-400</t>
  </si>
  <si>
    <t>NG 12</t>
  </si>
  <si>
    <t>P7170183</t>
  </si>
  <si>
    <t>AVEI2 341-359</t>
  </si>
  <si>
    <t>AVI2 401-420</t>
  </si>
  <si>
    <t>NR 41</t>
  </si>
  <si>
    <t>P7170184</t>
  </si>
  <si>
    <t>NR 37</t>
  </si>
  <si>
    <t>P7170185</t>
  </si>
  <si>
    <t>NG 11</t>
  </si>
  <si>
    <t>P7170187</t>
  </si>
  <si>
    <t>NR 40</t>
  </si>
  <si>
    <t>P7170188</t>
  </si>
  <si>
    <t>NG 10</t>
  </si>
  <si>
    <t>P7170189</t>
  </si>
  <si>
    <t>NR 36</t>
  </si>
  <si>
    <t>P7170190</t>
  </si>
  <si>
    <t>NG 5</t>
  </si>
  <si>
    <t>P7170191</t>
  </si>
  <si>
    <t>NG 6</t>
  </si>
  <si>
    <t>P7170192</t>
  </si>
  <si>
    <t>NG 7</t>
  </si>
  <si>
    <t>P7170193</t>
  </si>
  <si>
    <t>NG 8</t>
  </si>
  <si>
    <t>P7170194</t>
  </si>
  <si>
    <t>RG 20</t>
  </si>
  <si>
    <t>marsh</t>
  </si>
  <si>
    <t>RG 26</t>
  </si>
  <si>
    <t>RG 27</t>
  </si>
  <si>
    <t>RG 28</t>
  </si>
  <si>
    <t>RG 29</t>
  </si>
  <si>
    <t>RG 30</t>
  </si>
  <si>
    <t>RG 32</t>
  </si>
  <si>
    <t>RR 33</t>
  </si>
  <si>
    <t>creek</t>
  </si>
  <si>
    <t>RR 42</t>
  </si>
  <si>
    <t>accidentally skipped</t>
  </si>
  <si>
    <t>RR 50</t>
  </si>
  <si>
    <t>RR 53</t>
  </si>
  <si>
    <t>NG 9</t>
  </si>
  <si>
    <t>NR 38</t>
  </si>
  <si>
    <t>NR 50</t>
  </si>
  <si>
    <t>teller</t>
  </si>
  <si>
    <t>Code</t>
  </si>
  <si>
    <t>poskey</t>
  </si>
  <si>
    <t>AB</t>
  </si>
  <si>
    <t>dry weight (mg)</t>
  </si>
  <si>
    <t>Average of dry weight (mg)</t>
  </si>
  <si>
    <t>Column Labels</t>
  </si>
  <si>
    <t>Aveiro 07/2025</t>
  </si>
  <si>
    <t>A</t>
  </si>
  <si>
    <t>on picture no seagrass</t>
  </si>
  <si>
    <t>Row Labels</t>
  </si>
  <si>
    <t>B</t>
  </si>
  <si>
    <t>(blank)</t>
  </si>
  <si>
    <t>Grand Total</t>
  </si>
  <si>
    <t>Oven 48h at 60°C</t>
  </si>
  <si>
    <t>A = Above ground biomass</t>
  </si>
  <si>
    <t>B= Belowground biomass</t>
  </si>
  <si>
    <t>10A</t>
  </si>
  <si>
    <t>Seagrass leaves and Roots/Rhizomes</t>
  </si>
  <si>
    <t>3A</t>
  </si>
  <si>
    <t>10B</t>
  </si>
  <si>
    <t>3B</t>
  </si>
  <si>
    <t>113AN</t>
  </si>
  <si>
    <t>4A</t>
  </si>
  <si>
    <t>113BN</t>
  </si>
  <si>
    <t>4B</t>
  </si>
  <si>
    <t>115AN</t>
  </si>
  <si>
    <t>5A</t>
  </si>
  <si>
    <t>115BN</t>
  </si>
  <si>
    <t>5B</t>
  </si>
  <si>
    <t>116AN</t>
  </si>
  <si>
    <t>6A</t>
  </si>
  <si>
    <t>116BN</t>
  </si>
  <si>
    <t>6B</t>
  </si>
  <si>
    <t>117AN</t>
  </si>
  <si>
    <t>7A</t>
  </si>
  <si>
    <t>117BN</t>
  </si>
  <si>
    <t>7B</t>
  </si>
  <si>
    <t>119A</t>
  </si>
  <si>
    <t>8A</t>
  </si>
  <si>
    <t>119B</t>
  </si>
  <si>
    <t>8B</t>
  </si>
  <si>
    <t>11A</t>
  </si>
  <si>
    <t>9A</t>
  </si>
  <si>
    <t>11B</t>
  </si>
  <si>
    <t>9B</t>
  </si>
  <si>
    <t>120AN</t>
  </si>
  <si>
    <t>120BN</t>
  </si>
  <si>
    <t>121AN</t>
  </si>
  <si>
    <t>empty</t>
  </si>
  <si>
    <t>121BN</t>
  </si>
  <si>
    <t>122AN</t>
  </si>
  <si>
    <t>12A</t>
  </si>
  <si>
    <t>122BN</t>
  </si>
  <si>
    <t>12B</t>
  </si>
  <si>
    <t>123AN</t>
  </si>
  <si>
    <t>13A</t>
  </si>
  <si>
    <t>123BN</t>
  </si>
  <si>
    <t>13B</t>
  </si>
  <si>
    <t>124AN</t>
  </si>
  <si>
    <t>14A</t>
  </si>
  <si>
    <t>124BN</t>
  </si>
  <si>
    <t>14B</t>
  </si>
  <si>
    <t>125AN</t>
  </si>
  <si>
    <t>15A</t>
  </si>
  <si>
    <t>125BN</t>
  </si>
  <si>
    <t>15B</t>
  </si>
  <si>
    <t>126AN</t>
  </si>
  <si>
    <t>16A</t>
  </si>
  <si>
    <t>126BN</t>
  </si>
  <si>
    <t>16B</t>
  </si>
  <si>
    <t>127AN</t>
  </si>
  <si>
    <t>17A</t>
  </si>
  <si>
    <t>127BN</t>
  </si>
  <si>
    <t>17B</t>
  </si>
  <si>
    <t>128AN</t>
  </si>
  <si>
    <t>18A</t>
  </si>
  <si>
    <t>128BN</t>
  </si>
  <si>
    <t>18B</t>
  </si>
  <si>
    <t>19A</t>
  </si>
  <si>
    <t>19B</t>
  </si>
  <si>
    <t>130A</t>
  </si>
  <si>
    <t>130BN</t>
  </si>
  <si>
    <t>132AN</t>
  </si>
  <si>
    <t>21A</t>
  </si>
  <si>
    <t>132BN</t>
  </si>
  <si>
    <t>21B</t>
  </si>
  <si>
    <t>133AN</t>
  </si>
  <si>
    <t>22A</t>
  </si>
  <si>
    <t>133BN</t>
  </si>
  <si>
    <t>22B</t>
  </si>
  <si>
    <t>134AN</t>
  </si>
  <si>
    <t>23A</t>
  </si>
  <si>
    <t>134BN</t>
  </si>
  <si>
    <t>23B</t>
  </si>
  <si>
    <t>137AN</t>
  </si>
  <si>
    <t>24A</t>
  </si>
  <si>
    <t>137BN</t>
  </si>
  <si>
    <t>24B</t>
  </si>
  <si>
    <t>138AN</t>
  </si>
  <si>
    <t>25A</t>
  </si>
  <si>
    <t>138BN</t>
  </si>
  <si>
    <t>25B</t>
  </si>
  <si>
    <t>26A</t>
  </si>
  <si>
    <t>26B</t>
  </si>
  <si>
    <t>140AN</t>
  </si>
  <si>
    <t>27A</t>
  </si>
  <si>
    <t>140BN</t>
  </si>
  <si>
    <t>27B</t>
  </si>
  <si>
    <t>141AN</t>
  </si>
  <si>
    <t>28A</t>
  </si>
  <si>
    <t>141BN</t>
  </si>
  <si>
    <t>28B</t>
  </si>
  <si>
    <t>142AN</t>
  </si>
  <si>
    <t>29A</t>
  </si>
  <si>
    <t>142BN</t>
  </si>
  <si>
    <t>29B</t>
  </si>
  <si>
    <t>148AN</t>
  </si>
  <si>
    <t>30A</t>
  </si>
  <si>
    <t>148BN</t>
  </si>
  <si>
    <t>30B</t>
  </si>
  <si>
    <t>149AN</t>
  </si>
  <si>
    <t>31A</t>
  </si>
  <si>
    <t>149BN</t>
  </si>
  <si>
    <t>31B</t>
  </si>
  <si>
    <t>150AN</t>
  </si>
  <si>
    <t>150BN</t>
  </si>
  <si>
    <t>151AN</t>
  </si>
  <si>
    <t>34A</t>
  </si>
  <si>
    <t>151BN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</si>
  <si>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</si>
  <si>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</si>
  <si>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</si>
  <si>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</si>
  <si>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</si>
  <si>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</si>
  <si>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</si>
  <si>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</si>
  <si>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</si>
  <si>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40A</t>
  </si>
  <si>
    <t>40B</t>
  </si>
  <si>
    <t>81A</t>
  </si>
  <si>
    <t>81B</t>
  </si>
  <si>
    <t>82A</t>
  </si>
  <si>
    <t>82B</t>
  </si>
  <si>
    <t>NIOZ lab</t>
  </si>
  <si>
    <t>84AN</t>
  </si>
  <si>
    <t>84BN</t>
  </si>
  <si>
    <t>85AN</t>
  </si>
  <si>
    <t>85BN</t>
  </si>
  <si>
    <t>86AN</t>
  </si>
  <si>
    <t>86BN</t>
  </si>
  <si>
    <t>87AN</t>
  </si>
  <si>
    <t>87BN</t>
  </si>
  <si>
    <t>88AN</t>
  </si>
  <si>
    <t>88BN</t>
  </si>
  <si>
    <t>89AN</t>
  </si>
  <si>
    <t>89BN</t>
  </si>
  <si>
    <t>91AN</t>
  </si>
  <si>
    <t>91BN</t>
  </si>
  <si>
    <t>92AN</t>
  </si>
  <si>
    <t>92BN</t>
  </si>
  <si>
    <t>93AN</t>
  </si>
  <si>
    <t>93BN</t>
  </si>
  <si>
    <t>Roots</t>
  </si>
  <si>
    <t>Small</t>
  </si>
  <si>
    <t>Leaves</t>
  </si>
  <si>
    <t>Group</t>
  </si>
  <si>
    <t>PLQ_LEE_LCE</t>
  </si>
  <si>
    <t>Formulaire de résultats</t>
  </si>
  <si>
    <t>DETERMINATION DU CARBONE TOTAL, ORGANIQUE ET INORGANIQUE DANS LES SOLS</t>
  </si>
  <si>
    <t>Opérateur :</t>
  </si>
  <si>
    <t>Date d'analyse :</t>
  </si>
  <si>
    <t>RE :</t>
  </si>
  <si>
    <t>Norme :</t>
  </si>
  <si>
    <t>Analyse du Carbone total</t>
  </si>
  <si>
    <t>Analyse du Carbone inorganique</t>
  </si>
  <si>
    <t>N° éch</t>
  </si>
  <si>
    <r>
      <rPr>
        <b/>
        <sz val="10"/>
        <color rgb="FF000000"/>
        <rFont val="Cambria"/>
        <family val="1"/>
        <charset val="1"/>
      </rPr>
      <t xml:space="preserve">Prise d'essai humide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</si>
  <si>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Matière sèche
</t>
    </r>
    <r>
      <rPr>
        <i/>
        <sz val="9"/>
        <color rgb="FF000000"/>
        <rFont val="Cambria"/>
        <family val="1"/>
        <charset val="1"/>
      </rPr>
      <t>(%)</t>
    </r>
  </si>
  <si>
    <r>
      <rPr>
        <b/>
        <sz val="10"/>
        <color rgb="FF000000"/>
        <rFont val="Cambria"/>
        <family val="1"/>
        <charset val="1"/>
      </rPr>
      <t xml:space="preserve">Masse C mesurée 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</si>
  <si>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Ctot 
</t>
    </r>
    <r>
      <rPr>
        <i/>
        <sz val="9"/>
        <color rgb="FF000000"/>
        <rFont val="Cambria"/>
        <family val="1"/>
        <charset val="1"/>
      </rPr>
      <t>(g de C/kg de matière sèche)</t>
    </r>
  </si>
  <si>
    <r>
      <rPr>
        <b/>
        <sz val="10"/>
        <color rgb="FF000000"/>
        <rFont val="Cambria"/>
        <family val="1"/>
        <charset val="1"/>
      </rPr>
      <t xml:space="preserve">Concentration IC mesurée
</t>
    </r>
    <r>
      <rPr>
        <i/>
        <sz val="9"/>
        <color rgb="FF000000"/>
        <rFont val="Cambria"/>
        <family val="1"/>
        <charset val="1"/>
      </rPr>
      <t>(mg)</t>
    </r>
  </si>
  <si>
    <r>
      <rPr>
        <b/>
        <sz val="10"/>
        <color rgb="FF000000"/>
        <rFont val="Cambria"/>
        <family val="1"/>
        <charset val="1"/>
      </rPr>
      <t xml:space="preserve">Concentration IC
</t>
    </r>
    <r>
      <rPr>
        <i/>
        <sz val="9"/>
        <color rgb="FF000000"/>
        <rFont val="Cambria"/>
        <family val="1"/>
        <charset val="1"/>
      </rPr>
      <t>(g de C/kg de matière sèche)</t>
    </r>
  </si>
  <si>
    <r>
      <rPr>
        <b/>
        <sz val="10"/>
        <color rgb="FF000000"/>
        <rFont val="Cambria"/>
        <family val="1"/>
        <charset val="1"/>
      </rPr>
      <t xml:space="preserve">Concentration COT 
</t>
    </r>
    <r>
      <rPr>
        <i/>
        <sz val="9"/>
        <color rgb="FF000000"/>
        <rFont val="Cambria"/>
        <family val="1"/>
        <charset val="1"/>
      </rPr>
      <t>(g de C/kg de matière sèche)</t>
    </r>
  </si>
  <si>
    <t>-</t>
  </si>
  <si>
    <t>NR_41_A</t>
  </si>
  <si>
    <t>NR_43_A</t>
  </si>
  <si>
    <t>NR_49_A</t>
  </si>
  <si>
    <t>NR_52_A</t>
  </si>
  <si>
    <t>NG_27_B</t>
  </si>
  <si>
    <t>NR_43_B</t>
  </si>
  <si>
    <t>NR_49_B</t>
  </si>
  <si>
    <t>NR_51_B</t>
  </si>
  <si>
    <t>NR_52_B</t>
  </si>
  <si>
    <t>NG_5_A</t>
  </si>
  <si>
    <t>NG_8_A</t>
  </si>
  <si>
    <t>NG_12_A</t>
  </si>
  <si>
    <t>NG_13_A</t>
  </si>
  <si>
    <t>NG_16_A</t>
  </si>
  <si>
    <t>NG_5_B</t>
  </si>
  <si>
    <t>NG_8_B</t>
  </si>
  <si>
    <t>NG_12_B</t>
  </si>
  <si>
    <t>NG_18_A</t>
  </si>
  <si>
    <t>NG_20_A</t>
  </si>
  <si>
    <t>NG_22_A</t>
  </si>
  <si>
    <t>NG_25_A</t>
  </si>
  <si>
    <t>NG_26_A</t>
  </si>
  <si>
    <t>NG_19_B</t>
  </si>
  <si>
    <t>NG_20_B</t>
  </si>
  <si>
    <t>NG_22_B</t>
  </si>
  <si>
    <t>NG_25_B</t>
  </si>
  <si>
    <t>NG_26_B</t>
  </si>
  <si>
    <t>RG_3_A</t>
  </si>
  <si>
    <t>RG_22_A/RR_46_A</t>
  </si>
  <si>
    <t>RR_36_A</t>
  </si>
  <si>
    <t>RR_38_A</t>
  </si>
  <si>
    <t>RR_39_A</t>
  </si>
  <si>
    <t>RR_45_A</t>
  </si>
  <si>
    <t>RG_3_B</t>
  </si>
  <si>
    <t>RG_22_B/RR_46_B</t>
  </si>
  <si>
    <t>RR_36_B</t>
  </si>
  <si>
    <t>RR_38_B</t>
  </si>
  <si>
    <t>RR_41B</t>
  </si>
  <si>
    <t>RR_45_B</t>
  </si>
  <si>
    <t>ID</t>
  </si>
  <si>
    <t>Label</t>
  </si>
  <si>
    <t>PartType</t>
  </si>
  <si>
    <t>Natural</t>
  </si>
  <si>
    <t>Rewilded</t>
  </si>
  <si>
    <t>NA</t>
  </si>
  <si>
    <t>DryMassTC</t>
  </si>
  <si>
    <t>DryMassTotal</t>
  </si>
  <si>
    <t>CarbonTC</t>
  </si>
  <si>
    <t>DryMassIC</t>
  </si>
  <si>
    <t>CarbonIC</t>
  </si>
  <si>
    <t>CoreType</t>
  </si>
  <si>
    <t>Habitat</t>
  </si>
  <si>
    <t>RG_4_A</t>
  </si>
  <si>
    <t>RG_5_A</t>
  </si>
  <si>
    <t>RG_9_A/RG_17_A</t>
  </si>
  <si>
    <t>RG_12_A</t>
  </si>
  <si>
    <t>RG_14_A</t>
  </si>
  <si>
    <t>RG_4_B</t>
  </si>
  <si>
    <t>RG_5_B</t>
  </si>
  <si>
    <t>RG_9_B/RG_17_B</t>
  </si>
  <si>
    <t>RG_12_B</t>
  </si>
  <si>
    <t>RG_14_B</t>
  </si>
  <si>
    <t>RG_13_A</t>
  </si>
  <si>
    <t>RG_15_A</t>
  </si>
  <si>
    <t>RG_16_A</t>
  </si>
  <si>
    <t>RG_24_A</t>
  </si>
  <si>
    <t>RG_13_B</t>
  </si>
  <si>
    <t>RG_15_B</t>
  </si>
  <si>
    <t>RG_16_B</t>
  </si>
  <si>
    <t>RG_24_B</t>
  </si>
  <si>
    <t>NG_27_A *</t>
  </si>
  <si>
    <t>NR_51_A *</t>
  </si>
  <si>
    <t>NR_41_B *</t>
  </si>
  <si>
    <t>NG_15_A *</t>
  </si>
  <si>
    <t>NG_13_B *</t>
  </si>
  <si>
    <t>NG_15_B *</t>
  </si>
  <si>
    <t>NG_16_B *</t>
  </si>
  <si>
    <t>NG_19_A *</t>
  </si>
  <si>
    <t>NG_18_B *</t>
  </si>
  <si>
    <t>RR_41_A *</t>
  </si>
  <si>
    <t>RR_39_B *</t>
  </si>
  <si>
    <t>* Samples not well homogenised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</si>
</sst>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&quot;[$€-40C];[Red]&quot;-&quot;#,##0.00&quot; &quot;[$€-40C]"/>
    <numFmt numFmtId="165" formatCode="m/d/yyyy"/>
    <numFmt numFmtId="16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16"/>
      <name val="Liberation Sans"/>
      <family val="2"/>
    </font>
    <font>
      <b/>
      <i/>
      <u/>
      <sz val="11"/>
      <name val="Liberation Sans"/>
      <family val="2"/>
    </font>
    <font>
      <sz val="11"/>
      <name val="Liberation Sans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name val="Liberation Sans"/>
      <family val="2"/>
    </font>
    <font>
      <b/>
      <sz val="11"/>
      <name val="Liberation Sans"/>
      <family val="2"/>
    </font>
    <font>
      <b/>
      <sz val="9"/>
      <name val="Tahoma"/>
      <family val="2"/>
    </font>
    <font>
      <sz val="9"/>
      <name val="Tahoma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mbria"/>
      <family val="1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b/>
      <sz val="9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rgb="FF000000"/>
      <name val="Cambria"/>
      <family val="1"/>
      <charset val="1"/>
    </font>
    <font>
      <i/>
      <sz val="9"/>
      <color rgb="FF000000"/>
      <name val="Cambria"/>
      <family val="1"/>
      <charset val="1"/>
    </font>
    <font>
      <sz val="11"/>
      <color rgb="FF000000"/>
      <name val="Liberation Sans"/>
      <family val="2"/>
    </font>
    <font>
      <b/>
      <i/>
      <sz val="16"/>
      <color rgb="FF000000"/>
      <name val="Liberation Sans"/>
      <family val="2"/>
    </font>
    <font>
      <b/>
      <i/>
      <u/>
      <sz val="11"/>
      <color rgb="FF000000"/>
      <name val="Liberatio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rgb="FFEFFEE2"/>
      </patternFill>
    </fill>
    <fill>
      <patternFill patternType="solid">
        <fgColor rgb="FFFFFFCC"/>
        <bgColor rgb="FFEFFEE2"/>
      </patternFill>
    </fill>
    <fill>
      <patternFill patternType="solid">
        <fgColor rgb="FFEFFEE2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theme="6" tint="0.59999389629810485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/>
      <bottom style="thin">
        <color theme="0" tint="-0.14999847407452621"/>
      </bottom>
      <diagonal/>
    </border>
    <border>
      <left style="thin">
        <color auto="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  <xf numFmtId="0" fontId="4" fillId="0" borderId="0"/>
    <xf numFmtId="0" fontId="14" fillId="0" borderId="0"/>
    <xf numFmtId="0" fontId="16" fillId="0" borderId="0"/>
    <xf numFmtId="0" fontId="17" fillId="0" borderId="0"/>
    <xf numFmtId="0" fontId="17" fillId="0" borderId="0"/>
    <xf numFmtId="0" fontId="1" fillId="0" borderId="0"/>
    <xf numFmtId="0" fontId="22" fillId="0" borderId="0"/>
    <xf numFmtId="0" fontId="23" fillId="0" borderId="0" applyNumberFormat="0" applyBorder="0" applyProtection="0">
      <alignment horizontal="center"/>
    </xf>
    <xf numFmtId="0" fontId="23" fillId="0" borderId="0" applyNumberFormat="0" applyBorder="0" applyProtection="0">
      <alignment horizontal="center" textRotation="90"/>
    </xf>
    <xf numFmtId="0" fontId="24" fillId="0" borderId="0" applyNumberFormat="0" applyBorder="0" applyProtection="0"/>
    <xf numFmtId="164" fontId="24" fillId="0" borderId="0" applyBorder="0" applyProtection="0"/>
  </cellStyleXfs>
  <cellXfs count="90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quotePrefix="1" applyFill="1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pivotButton="1" applyAlignment="1">
      <alignment horizontal="left"/>
    </xf>
    <xf numFmtId="0" fontId="7" fillId="0" borderId="0" xfId="5" applyFont="1" applyAlignment="1">
      <alignment horizontal="left"/>
    </xf>
    <xf numFmtId="0" fontId="4" fillId="0" borderId="0" xfId="5" applyFont="1" applyAlignment="1">
      <alignment horizontal="left"/>
    </xf>
    <xf numFmtId="0" fontId="8" fillId="0" borderId="0" xfId="5" applyFont="1" applyAlignment="1">
      <alignment horizontal="left"/>
    </xf>
    <xf numFmtId="0" fontId="4" fillId="2" borderId="1" xfId="5" applyFont="1" applyFill="1" applyBorder="1" applyAlignment="1">
      <alignment horizontal="left"/>
    </xf>
    <xf numFmtId="0" fontId="4" fillId="0" borderId="1" xfId="5" applyFont="1" applyBorder="1" applyAlignment="1">
      <alignment horizontal="left"/>
    </xf>
    <xf numFmtId="0" fontId="4" fillId="4" borderId="1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left"/>
    </xf>
    <xf numFmtId="0" fontId="4" fillId="6" borderId="1" xfId="5" applyFont="1" applyFill="1" applyBorder="1" applyAlignment="1">
      <alignment horizontal="left"/>
    </xf>
    <xf numFmtId="0" fontId="4" fillId="7" borderId="1" xfId="5" applyFont="1" applyFill="1" applyBorder="1" applyAlignment="1">
      <alignment horizontal="left"/>
    </xf>
    <xf numFmtId="0" fontId="4" fillId="8" borderId="1" xfId="5" applyFont="1" applyFill="1" applyBorder="1" applyAlignment="1">
      <alignment horizontal="left"/>
    </xf>
    <xf numFmtId="0" fontId="4" fillId="2" borderId="1" xfId="5" applyFont="1" applyFill="1" applyBorder="1" applyAlignment="1">
      <alignment horizontal="center"/>
    </xf>
    <xf numFmtId="0" fontId="4" fillId="3" borderId="1" xfId="5" applyFont="1" applyFill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15" fillId="9" borderId="1" xfId="6" applyFont="1" applyFill="1" applyBorder="1" applyAlignment="1" applyProtection="1">
      <alignment horizontal="center" vertical="center"/>
    </xf>
    <xf numFmtId="0" fontId="15" fillId="9" borderId="0" xfId="6" applyFont="1" applyFill="1" applyAlignment="1" applyProtection="1">
      <alignment horizontal="center" vertical="center"/>
    </xf>
    <xf numFmtId="0" fontId="18" fillId="9" borderId="0" xfId="8" applyFont="1" applyFill="1" applyBorder="1" applyAlignment="1" applyProtection="1">
      <alignment horizontal="center" vertical="center"/>
    </xf>
    <xf numFmtId="0" fontId="15" fillId="9" borderId="0" xfId="9" applyFont="1" applyFill="1" applyBorder="1" applyAlignment="1" applyProtection="1">
      <alignment horizontal="center" vertical="center"/>
    </xf>
    <xf numFmtId="0" fontId="15" fillId="9" borderId="5" xfId="9" applyFont="1" applyFill="1" applyBorder="1" applyAlignment="1" applyProtection="1">
      <alignment horizontal="center" vertical="center"/>
    </xf>
    <xf numFmtId="0" fontId="15" fillId="9" borderId="6" xfId="9" applyFont="1" applyFill="1" applyBorder="1" applyAlignment="1" applyProtection="1">
      <alignment horizontal="center" vertical="center"/>
    </xf>
    <xf numFmtId="10" fontId="15" fillId="9" borderId="5" xfId="9" applyNumberFormat="1" applyFont="1" applyFill="1" applyBorder="1" applyAlignment="1" applyProtection="1">
      <alignment horizontal="center" vertical="center"/>
    </xf>
    <xf numFmtId="166" fontId="15" fillId="9" borderId="7" xfId="9" applyNumberFormat="1" applyFont="1" applyFill="1" applyBorder="1" applyAlignment="1" applyProtection="1">
      <alignment horizontal="center" vertical="center"/>
    </xf>
    <xf numFmtId="2" fontId="15" fillId="11" borderId="5" xfId="9" applyNumberFormat="1" applyFont="1" applyFill="1" applyBorder="1" applyAlignment="1" applyProtection="1">
      <alignment horizontal="center" vertical="center"/>
    </xf>
    <xf numFmtId="0" fontId="15" fillId="9" borderId="7" xfId="9" applyFont="1" applyFill="1" applyBorder="1" applyAlignment="1" applyProtection="1">
      <alignment horizontal="center" vertical="center"/>
    </xf>
    <xf numFmtId="166" fontId="15" fillId="9" borderId="5" xfId="9" applyNumberFormat="1" applyFont="1" applyFill="1" applyBorder="1" applyAlignment="1" applyProtection="1">
      <alignment horizontal="center" vertical="center"/>
    </xf>
    <xf numFmtId="166" fontId="15" fillId="11" borderId="8" xfId="9" applyNumberFormat="1" applyFont="1" applyFill="1" applyBorder="1" applyAlignment="1" applyProtection="1">
      <alignment horizontal="center" vertical="center"/>
    </xf>
    <xf numFmtId="0" fontId="15" fillId="9" borderId="9" xfId="9" applyFont="1" applyFill="1" applyBorder="1" applyAlignment="1" applyProtection="1">
      <alignment horizontal="center" vertical="center"/>
    </xf>
    <xf numFmtId="0" fontId="15" fillId="9" borderId="10" xfId="9" applyFont="1" applyFill="1" applyBorder="1" applyAlignment="1" applyProtection="1">
      <alignment horizontal="center" vertical="center"/>
    </xf>
    <xf numFmtId="10" fontId="15" fillId="9" borderId="9" xfId="9" applyNumberFormat="1" applyFont="1" applyFill="1" applyBorder="1" applyAlignment="1" applyProtection="1">
      <alignment horizontal="center" vertical="center"/>
    </xf>
    <xf numFmtId="166" fontId="15" fillId="9" borderId="11" xfId="9" applyNumberFormat="1" applyFont="1" applyFill="1" applyBorder="1" applyAlignment="1" applyProtection="1">
      <alignment horizontal="center" vertical="center"/>
    </xf>
    <xf numFmtId="2" fontId="15" fillId="11" borderId="12" xfId="9" applyNumberFormat="1" applyFont="1" applyFill="1" applyBorder="1" applyAlignment="1" applyProtection="1">
      <alignment horizontal="center" vertical="center"/>
    </xf>
    <xf numFmtId="0" fontId="15" fillId="9" borderId="11" xfId="9" applyFont="1" applyFill="1" applyBorder="1" applyAlignment="1" applyProtection="1">
      <alignment horizontal="center" vertical="center"/>
    </xf>
    <xf numFmtId="166" fontId="15" fillId="9" borderId="9" xfId="9" applyNumberFormat="1" applyFont="1" applyFill="1" applyBorder="1" applyAlignment="1" applyProtection="1">
      <alignment horizontal="center" vertical="center"/>
    </xf>
    <xf numFmtId="166" fontId="15" fillId="11" borderId="13" xfId="9" applyNumberFormat="1" applyFont="1" applyFill="1" applyBorder="1" applyAlignment="1" applyProtection="1">
      <alignment horizontal="center" vertical="center"/>
    </xf>
    <xf numFmtId="2" fontId="13" fillId="0" borderId="0" xfId="0" applyNumberFormat="1" applyFont="1" applyAlignment="1">
      <alignment horizontal="left"/>
    </xf>
    <xf numFmtId="2" fontId="0" fillId="0" borderId="0" xfId="0" applyNumberFormat="1"/>
    <xf numFmtId="0" fontId="4" fillId="12" borderId="14" xfId="5" applyFill="1" applyBorder="1" applyAlignment="1">
      <alignment horizontal="left"/>
    </xf>
    <xf numFmtId="0" fontId="4" fillId="0" borderId="14" xfId="5" applyBorder="1" applyAlignment="1">
      <alignment horizontal="left"/>
    </xf>
    <xf numFmtId="0" fontId="4" fillId="13" borderId="14" xfId="5" applyFill="1" applyBorder="1" applyAlignment="1">
      <alignment horizontal="left"/>
    </xf>
    <xf numFmtId="0" fontId="4" fillId="14" borderId="14" xfId="5" applyFill="1" applyBorder="1" applyAlignment="1">
      <alignment horizontal="left"/>
    </xf>
    <xf numFmtId="0" fontId="4" fillId="15" borderId="14" xfId="5" applyFill="1" applyBorder="1" applyAlignment="1">
      <alignment horizontal="left"/>
    </xf>
    <xf numFmtId="0" fontId="4" fillId="16" borderId="14" xfId="5" applyFill="1" applyBorder="1" applyAlignment="1">
      <alignment horizontal="left"/>
    </xf>
    <xf numFmtId="0" fontId="4" fillId="17" borderId="14" xfId="5" applyFill="1" applyBorder="1" applyAlignment="1">
      <alignment horizontal="left"/>
    </xf>
    <xf numFmtId="0" fontId="4" fillId="12" borderId="14" xfId="5" applyFill="1" applyBorder="1" applyAlignment="1">
      <alignment horizontal="center"/>
    </xf>
    <xf numFmtId="0" fontId="4" fillId="18" borderId="14" xfId="5" applyFill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19" borderId="0" xfId="0" applyNumberFormat="1" applyFill="1" applyAlignment="1">
      <alignment horizontal="left"/>
    </xf>
    <xf numFmtId="0" fontId="0" fillId="19" borderId="0" xfId="0" applyFill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1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6" fillId="0" borderId="0" xfId="10" applyFont="1" applyAlignment="1">
      <alignment horizontal="left"/>
    </xf>
    <xf numFmtId="0" fontId="15" fillId="9" borderId="1" xfId="6" applyFont="1" applyFill="1" applyBorder="1" applyAlignment="1" applyProtection="1">
      <alignment horizontal="center" vertical="center"/>
    </xf>
    <xf numFmtId="0" fontId="15" fillId="9" borderId="2" xfId="6" applyFont="1" applyFill="1" applyBorder="1" applyAlignment="1" applyProtection="1">
      <alignment horizontal="center" vertical="center"/>
    </xf>
    <xf numFmtId="0" fontId="15" fillId="9" borderId="2" xfId="6" applyFont="1" applyFill="1" applyBorder="1" applyAlignment="1" applyProtection="1">
      <alignment horizontal="center" vertical="center" wrapText="1"/>
    </xf>
    <xf numFmtId="0" fontId="15" fillId="9" borderId="1" xfId="6" applyFont="1" applyFill="1" applyBorder="1" applyAlignment="1" applyProtection="1">
      <alignment horizontal="left" vertical="center"/>
    </xf>
    <xf numFmtId="0" fontId="15" fillId="10" borderId="1" xfId="6" applyFont="1" applyFill="1" applyBorder="1" applyAlignment="1" applyProtection="1">
      <alignment horizontal="center" vertical="center"/>
    </xf>
    <xf numFmtId="165" fontId="15" fillId="10" borderId="1" xfId="6" applyNumberFormat="1" applyFont="1" applyFill="1" applyBorder="1" applyAlignment="1" applyProtection="1">
      <alignment horizontal="center" vertical="center"/>
    </xf>
    <xf numFmtId="0" fontId="15" fillId="10" borderId="1" xfId="7" applyFont="1" applyFill="1" applyBorder="1" applyAlignment="1" applyProtection="1">
      <alignment horizontal="center" vertical="center" wrapText="1"/>
    </xf>
    <xf numFmtId="0" fontId="20" fillId="9" borderId="1" xfId="9" applyFont="1" applyFill="1" applyBorder="1" applyAlignment="1" applyProtection="1">
      <alignment horizontal="center" vertical="center" wrapText="1"/>
    </xf>
    <xf numFmtId="0" fontId="15" fillId="9" borderId="3" xfId="6" applyFont="1" applyFill="1" applyBorder="1" applyAlignment="1" applyProtection="1">
      <alignment horizontal="center" vertical="center"/>
    </xf>
    <xf numFmtId="0" fontId="19" fillId="9" borderId="3" xfId="9" applyFont="1" applyFill="1" applyBorder="1" applyAlignment="1" applyProtection="1">
      <alignment horizontal="center" vertical="center"/>
    </xf>
    <xf numFmtId="0" fontId="20" fillId="9" borderId="2" xfId="9" applyFont="1" applyFill="1" applyBorder="1" applyAlignment="1" applyProtection="1">
      <alignment horizontal="center" vertical="center" wrapText="1"/>
    </xf>
    <xf numFmtId="0" fontId="20" fillId="9" borderId="4" xfId="9" applyFont="1" applyFill="1" applyBorder="1" applyAlignment="1" applyProtection="1">
      <alignment horizontal="center" vertical="center" wrapText="1"/>
    </xf>
    <xf numFmtId="0" fontId="15" fillId="9" borderId="0" xfId="6" applyFont="1" applyFill="1" applyAlignment="1" applyProtection="1">
      <alignment horizontal="left" vertical="center"/>
    </xf>
  </cellXfs>
  <cellStyles count="16">
    <cellStyle name="Heading" xfId="1"/>
    <cellStyle name="Heading 5" xfId="12"/>
    <cellStyle name="Heading1" xfId="2"/>
    <cellStyle name="Heading1 2" xfId="13"/>
    <cellStyle name="Normal" xfId="0" builtinId="0"/>
    <cellStyle name="Normal 2" xfId="6"/>
    <cellStyle name="Normal 3" xfId="10"/>
    <cellStyle name="Normal 31" xfId="7"/>
    <cellStyle name="Normal_Feuil1 (2)" xfId="8"/>
    <cellStyle name="Normal_Métaux y=ax+b " xfId="9"/>
    <cellStyle name="Result" xfId="3"/>
    <cellStyle name="Result 2" xfId="14"/>
    <cellStyle name="Result2" xfId="4"/>
    <cellStyle name="Result2 2" xfId="15"/>
    <cellStyle name="Standaard 2" xfId="5"/>
    <cellStyle name="Standaard 2 2" xfId="11"/>
  </cellStyles>
  <dxfs count="15"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indexed="5"/>
          <bgColor indexed="5"/>
        </patternFill>
      </fill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  <dxf>
      <alignment horizontal="left" vertical="bottom" textRotation="0" wrapText="0" relative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390600</xdr:colOff>
      <xdr:row>0</xdr:row>
      <xdr:rowOff>190440</xdr:rowOff>
    </xdr:from>
    <xdr:to>
      <xdr:col>2</xdr:col>
      <xdr:colOff>421560</xdr:colOff>
      <xdr:row>2</xdr:row>
      <xdr:rowOff>141480</xdr:rowOff>
    </xdr:to>
    <xdr:pic>
      <xdr:nvPicPr>
        <xdr:cNvPr id="2" name="Image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390600" y="190440"/>
          <a:ext cx="2164560" cy="44634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im de Fouw" id="{75B6C7D6-0107-F51C-A755-425CE77F26FA}" userId="S::jim.de.fouw@nioz.nl::b393b709-4336-4468-9f6e-ac6ba90627f6" providerId="Teamlab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rille-l" refreshedDate="46069.625101851852" createdVersion="8" refreshedVersion="6" minRefreshableVersion="3" recordCount="179">
  <cacheSource type="worksheet">
    <worksheetSource ref="B1:E1048576" sheet="seagrass biomass"/>
  </cacheSource>
  <cacheFields count="4">
    <cacheField name="Code" numFmtId="0">
      <sharedItems containsBlank="1"/>
    </cacheField>
    <cacheField name="poskey" numFmtId="0">
      <sharedItems containsString="0" containsBlank="1" containsNumber="1" containsInteger="1" minValue="2025001" maxValue="2025151" count="90">
        <n v="2025001"/>
        <n v="2025002"/>
        <n v="2025003"/>
        <n v="2025004"/>
        <n v="2025005"/>
        <n v="2025006"/>
        <n v="2025007"/>
        <n v="2025008"/>
        <n v="2025009"/>
        <n v="2025010"/>
        <n v="2025011"/>
        <n v="2025012"/>
        <n v="2025013"/>
        <n v="2025014"/>
        <n v="2025015"/>
        <n v="2025016"/>
        <n v="2025017"/>
        <n v="2025018"/>
        <n v="2025019"/>
        <n v="2025020"/>
        <n v="2025021"/>
        <n v="2025022"/>
        <n v="2025023"/>
        <n v="2025024"/>
        <n v="2025025"/>
        <n v="2025026"/>
        <n v="2025027"/>
        <n v="2025028"/>
        <n v="2025029"/>
        <n v="2025030"/>
        <n v="2025031"/>
        <n v="2025032"/>
        <n v="2025033"/>
        <n v="2025034"/>
        <n v="2025035"/>
        <n v="2025036"/>
        <n v="2025037"/>
        <n v="2025038"/>
        <n v="2025039"/>
        <n v="2025040"/>
        <n v="2025081"/>
        <n v="2025082"/>
        <n v="2025083"/>
        <n v="2025084"/>
        <n v="2025085"/>
        <n v="2025086"/>
        <n v="2025087"/>
        <n v="2025088"/>
        <n v="2025089"/>
        <n v="2025090"/>
        <n v="2025091"/>
        <n v="2025092"/>
        <n v="2025093"/>
        <n v="2025111"/>
        <n v="2025112"/>
        <n v="2025113"/>
        <n v="2025114"/>
        <n v="2025115"/>
        <n v="2025116"/>
        <n v="2025117"/>
        <n v="2025118"/>
        <n v="2025119"/>
        <n v="2025120"/>
        <n v="2025121"/>
        <n v="2025122"/>
        <n v="2025123"/>
        <n v="2025124"/>
        <n v="2025125"/>
        <n v="2025126"/>
        <n v="2025127"/>
        <n v="2025128"/>
        <n v="2025129"/>
        <n v="2025130"/>
        <n v="2025131"/>
        <n v="2025132"/>
        <n v="2025133"/>
        <n v="2025134"/>
        <n v="2025135"/>
        <n v="2025136"/>
        <n v="2025137"/>
        <n v="2025138"/>
        <n v="2025139"/>
        <n v="2025140"/>
        <n v="2025141"/>
        <n v="2025142"/>
        <n v="2025148"/>
        <n v="2025149"/>
        <n v="2025150"/>
        <n v="2025151"/>
        <m/>
      </sharedItems>
    </cacheField>
    <cacheField name="AB" numFmtId="0">
      <sharedItems containsBlank="1" count="3">
        <s v="A"/>
        <s v="B"/>
        <m/>
      </sharedItems>
    </cacheField>
    <cacheField name="dry weight (mg)" numFmtId="0">
      <sharedItems containsString="0" containsBlank="1" containsNumber="1" minValue="0" maxValue="3975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m/>
    <x v="0"/>
    <x v="0"/>
    <n v="0"/>
  </r>
  <r>
    <m/>
    <x v="0"/>
    <x v="1"/>
    <n v="0"/>
  </r>
  <r>
    <m/>
    <x v="1"/>
    <x v="0"/>
    <n v="0"/>
  </r>
  <r>
    <m/>
    <x v="1"/>
    <x v="1"/>
    <n v="0"/>
  </r>
  <r>
    <s v="3A"/>
    <x v="2"/>
    <x v="0"/>
    <n v="315"/>
  </r>
  <r>
    <s v="3B"/>
    <x v="2"/>
    <x v="1"/>
    <n v="250"/>
  </r>
  <r>
    <s v="4A"/>
    <x v="3"/>
    <x v="0"/>
    <n v="42"/>
  </r>
  <r>
    <s v="4B"/>
    <x v="3"/>
    <x v="1"/>
    <n v="141"/>
  </r>
  <r>
    <s v="5A"/>
    <x v="4"/>
    <x v="0"/>
    <n v="2222"/>
  </r>
  <r>
    <s v="5B"/>
    <x v="4"/>
    <x v="1"/>
    <n v="939"/>
  </r>
  <r>
    <s v="6A"/>
    <x v="5"/>
    <x v="0"/>
    <n v="17"/>
  </r>
  <r>
    <s v="6B"/>
    <x v="5"/>
    <x v="1"/>
    <n v="0"/>
  </r>
  <r>
    <s v="7A"/>
    <x v="6"/>
    <x v="0"/>
    <n v="0"/>
  </r>
  <r>
    <s v="7B"/>
    <x v="6"/>
    <x v="1"/>
    <n v="0"/>
  </r>
  <r>
    <s v="8A"/>
    <x v="7"/>
    <x v="0"/>
    <n v="2418"/>
  </r>
  <r>
    <s v="8B"/>
    <x v="7"/>
    <x v="1"/>
    <n v="1706"/>
  </r>
  <r>
    <s v="9A"/>
    <x v="8"/>
    <x v="0"/>
    <n v="1377"/>
  </r>
  <r>
    <s v="9B"/>
    <x v="8"/>
    <x v="1"/>
    <n v="1864"/>
  </r>
  <r>
    <s v="10A"/>
    <x v="9"/>
    <x v="0"/>
    <n v="2797"/>
  </r>
  <r>
    <s v="10B"/>
    <x v="9"/>
    <x v="1"/>
    <n v="1048"/>
  </r>
  <r>
    <s v="11A"/>
    <x v="10"/>
    <x v="0"/>
    <n v="3628"/>
  </r>
  <r>
    <s v="11B"/>
    <x v="10"/>
    <x v="1"/>
    <n v="977"/>
  </r>
  <r>
    <s v="12A"/>
    <x v="11"/>
    <x v="0"/>
    <n v="0"/>
  </r>
  <r>
    <s v="12B"/>
    <x v="11"/>
    <x v="1"/>
    <n v="0"/>
  </r>
  <r>
    <s v="13A"/>
    <x v="12"/>
    <x v="0"/>
    <n v="1701"/>
  </r>
  <r>
    <s v="13B"/>
    <x v="12"/>
    <x v="1"/>
    <n v="1821"/>
  </r>
  <r>
    <s v="14A"/>
    <x v="13"/>
    <x v="0"/>
    <n v="0"/>
  </r>
  <r>
    <s v="14B"/>
    <x v="13"/>
    <x v="1"/>
    <n v="0"/>
  </r>
  <r>
    <s v="15A"/>
    <x v="14"/>
    <x v="0"/>
    <n v="31"/>
  </r>
  <r>
    <s v="15B"/>
    <x v="14"/>
    <x v="1"/>
    <n v="189"/>
  </r>
  <r>
    <s v="16A"/>
    <x v="15"/>
    <x v="0"/>
    <n v="871"/>
  </r>
  <r>
    <s v="16B"/>
    <x v="15"/>
    <x v="1"/>
    <n v="401"/>
  </r>
  <r>
    <s v="17A"/>
    <x v="16"/>
    <x v="0"/>
    <n v="994"/>
  </r>
  <r>
    <s v="17B"/>
    <x v="16"/>
    <x v="1"/>
    <n v="343"/>
  </r>
  <r>
    <s v="18A"/>
    <x v="17"/>
    <x v="0"/>
    <n v="2523"/>
  </r>
  <r>
    <s v="18B"/>
    <x v="17"/>
    <x v="1"/>
    <n v="1219"/>
  </r>
  <r>
    <s v="19A"/>
    <x v="18"/>
    <x v="0"/>
    <n v="2695"/>
  </r>
  <r>
    <s v="19B"/>
    <x v="18"/>
    <x v="1"/>
    <n v="1160"/>
  </r>
  <r>
    <m/>
    <x v="19"/>
    <x v="0"/>
    <n v="0"/>
  </r>
  <r>
    <m/>
    <x v="19"/>
    <x v="1"/>
    <n v="0"/>
  </r>
  <r>
    <s v="21A"/>
    <x v="20"/>
    <x v="0"/>
    <n v="933"/>
  </r>
  <r>
    <s v="21B"/>
    <x v="20"/>
    <x v="1"/>
    <n v="750"/>
  </r>
  <r>
    <s v="22A"/>
    <x v="21"/>
    <x v="0"/>
    <n v="85"/>
  </r>
  <r>
    <s v="22B"/>
    <x v="21"/>
    <x v="1"/>
    <n v="719"/>
  </r>
  <r>
    <s v="23A"/>
    <x v="22"/>
    <x v="0"/>
    <n v="2790"/>
  </r>
  <r>
    <s v="23B"/>
    <x v="22"/>
    <x v="1"/>
    <n v="888"/>
  </r>
  <r>
    <s v="24A"/>
    <x v="23"/>
    <x v="0"/>
    <n v="2113"/>
  </r>
  <r>
    <s v="24B"/>
    <x v="23"/>
    <x v="1"/>
    <n v="675"/>
  </r>
  <r>
    <s v="25A"/>
    <x v="24"/>
    <x v="0"/>
    <n v="2171"/>
  </r>
  <r>
    <s v="25B"/>
    <x v="24"/>
    <x v="1"/>
    <n v="933"/>
  </r>
  <r>
    <s v="26A"/>
    <x v="25"/>
    <x v="0"/>
    <n v="0"/>
  </r>
  <r>
    <s v="26B"/>
    <x v="25"/>
    <x v="1"/>
    <n v="0"/>
  </r>
  <r>
    <s v="27A"/>
    <x v="26"/>
    <x v="0"/>
    <n v="39"/>
  </r>
  <r>
    <s v="27B"/>
    <x v="26"/>
    <x v="1"/>
    <n v="161"/>
  </r>
  <r>
    <s v="28A"/>
    <x v="27"/>
    <x v="0"/>
    <n v="2715"/>
  </r>
  <r>
    <s v="28B"/>
    <x v="27"/>
    <x v="1"/>
    <n v="1696"/>
  </r>
  <r>
    <s v="29A"/>
    <x v="28"/>
    <x v="0"/>
    <n v="1294"/>
  </r>
  <r>
    <s v="29B"/>
    <x v="28"/>
    <x v="1"/>
    <n v="454"/>
  </r>
  <r>
    <s v="30A"/>
    <x v="29"/>
    <x v="0"/>
    <n v="228"/>
  </r>
  <r>
    <s v="30B"/>
    <x v="29"/>
    <x v="1"/>
    <n v="191"/>
  </r>
  <r>
    <s v="31A"/>
    <x v="30"/>
    <x v="0"/>
    <n v="0"/>
  </r>
  <r>
    <s v="31B"/>
    <x v="30"/>
    <x v="1"/>
    <n v="0"/>
  </r>
  <r>
    <m/>
    <x v="31"/>
    <x v="0"/>
    <n v="0"/>
  </r>
  <r>
    <m/>
    <x v="31"/>
    <x v="1"/>
    <n v="0"/>
  </r>
  <r>
    <m/>
    <x v="32"/>
    <x v="0"/>
    <n v="0"/>
  </r>
  <r>
    <m/>
    <x v="32"/>
    <x v="1"/>
    <n v="0"/>
  </r>
  <r>
    <s v="34A"/>
    <x v="33"/>
    <x v="0"/>
    <n v="0"/>
  </r>
  <r>
    <s v="34B"/>
    <x v="33"/>
    <x v="1"/>
    <n v="0"/>
  </r>
  <r>
    <s v="35A"/>
    <x v="34"/>
    <x v="0"/>
    <n v="206.02"/>
  </r>
  <r>
    <s v="35B"/>
    <x v="34"/>
    <x v="1"/>
    <n v="212.4"/>
  </r>
  <r>
    <s v="36A"/>
    <x v="35"/>
    <x v="0"/>
    <n v="645"/>
  </r>
  <r>
    <s v="36B"/>
    <x v="35"/>
    <x v="1"/>
    <n v="607"/>
  </r>
  <r>
    <s v="37A"/>
    <x v="36"/>
    <x v="0"/>
    <n v="1871"/>
  </r>
  <r>
    <s v="37B"/>
    <x v="36"/>
    <x v="1"/>
    <n v="1585"/>
  </r>
  <r>
    <s v="38A"/>
    <x v="37"/>
    <x v="0"/>
    <n v="1642"/>
  </r>
  <r>
    <s v="38B"/>
    <x v="37"/>
    <x v="1"/>
    <n v="1381"/>
  </r>
  <r>
    <m/>
    <x v="38"/>
    <x v="0"/>
    <n v="0"/>
  </r>
  <r>
    <m/>
    <x v="38"/>
    <x v="1"/>
    <n v="0"/>
  </r>
  <r>
    <s v="40A"/>
    <x v="39"/>
    <x v="0"/>
    <n v="0"/>
  </r>
  <r>
    <s v="40B"/>
    <x v="39"/>
    <x v="1"/>
    <n v="0"/>
  </r>
  <r>
    <s v="81A"/>
    <x v="40"/>
    <x v="0"/>
    <n v="2745"/>
  </r>
  <r>
    <s v="81B"/>
    <x v="40"/>
    <x v="1"/>
    <n v="1244"/>
  </r>
  <r>
    <s v="82A"/>
    <x v="41"/>
    <x v="0"/>
    <n v="400"/>
  </r>
  <r>
    <s v="82B"/>
    <x v="41"/>
    <x v="1"/>
    <n v="338"/>
  </r>
  <r>
    <m/>
    <x v="42"/>
    <x v="0"/>
    <n v="717"/>
  </r>
  <r>
    <m/>
    <x v="42"/>
    <x v="1"/>
    <n v="835"/>
  </r>
  <r>
    <s v="84AN"/>
    <x v="43"/>
    <x v="0"/>
    <n v="1514"/>
  </r>
  <r>
    <s v="84BN"/>
    <x v="43"/>
    <x v="1"/>
    <n v="556"/>
  </r>
  <r>
    <s v="85AN"/>
    <x v="44"/>
    <x v="0"/>
    <n v="2566"/>
  </r>
  <r>
    <s v="85BN"/>
    <x v="44"/>
    <x v="1"/>
    <n v="1512"/>
  </r>
  <r>
    <s v="86AN"/>
    <x v="45"/>
    <x v="0"/>
    <n v="3538"/>
  </r>
  <r>
    <s v="86BN"/>
    <x v="45"/>
    <x v="1"/>
    <n v="2263"/>
  </r>
  <r>
    <s v="87AN"/>
    <x v="46"/>
    <x v="0"/>
    <n v="1780"/>
  </r>
  <r>
    <s v="87BN"/>
    <x v="46"/>
    <x v="1"/>
    <n v="1728"/>
  </r>
  <r>
    <s v="88AN"/>
    <x v="47"/>
    <x v="0"/>
    <n v="3113"/>
  </r>
  <r>
    <s v="88BN"/>
    <x v="47"/>
    <x v="1"/>
    <n v="899"/>
  </r>
  <r>
    <s v="89AN"/>
    <x v="48"/>
    <x v="0"/>
    <n v="857"/>
  </r>
  <r>
    <s v="89BN"/>
    <x v="48"/>
    <x v="1"/>
    <n v="705"/>
  </r>
  <r>
    <m/>
    <x v="49"/>
    <x v="0"/>
    <n v="1103"/>
  </r>
  <r>
    <m/>
    <x v="49"/>
    <x v="1"/>
    <n v="813"/>
  </r>
  <r>
    <s v="91AN"/>
    <x v="50"/>
    <x v="0"/>
    <n v="1230"/>
  </r>
  <r>
    <s v="91BN"/>
    <x v="50"/>
    <x v="1"/>
    <n v="990"/>
  </r>
  <r>
    <s v="92AN"/>
    <x v="51"/>
    <x v="0"/>
    <n v="992"/>
  </r>
  <r>
    <s v="92BN"/>
    <x v="51"/>
    <x v="1"/>
    <n v="377"/>
  </r>
  <r>
    <s v="93AN"/>
    <x v="52"/>
    <x v="0"/>
    <n v="1076"/>
  </r>
  <r>
    <s v="93BN"/>
    <x v="52"/>
    <x v="1"/>
    <n v="803"/>
  </r>
  <r>
    <m/>
    <x v="53"/>
    <x v="0"/>
    <n v="1483"/>
  </r>
  <r>
    <m/>
    <x v="53"/>
    <x v="1"/>
    <n v="770"/>
  </r>
  <r>
    <m/>
    <x v="54"/>
    <x v="0"/>
    <n v="718"/>
  </r>
  <r>
    <m/>
    <x v="54"/>
    <x v="1"/>
    <n v="512"/>
  </r>
  <r>
    <s v="113AN"/>
    <x v="55"/>
    <x v="0"/>
    <n v="1876"/>
  </r>
  <r>
    <s v="113BN"/>
    <x v="55"/>
    <x v="1"/>
    <n v="608"/>
  </r>
  <r>
    <m/>
    <x v="56"/>
    <x v="0"/>
    <n v="0"/>
  </r>
  <r>
    <m/>
    <x v="56"/>
    <x v="1"/>
    <n v="0"/>
  </r>
  <r>
    <s v="115AN"/>
    <x v="57"/>
    <x v="0"/>
    <n v="3975.8"/>
  </r>
  <r>
    <s v="115BN"/>
    <x v="57"/>
    <x v="1"/>
    <n v="2080"/>
  </r>
  <r>
    <s v="116AN"/>
    <x v="58"/>
    <x v="0"/>
    <n v="3531"/>
  </r>
  <r>
    <s v="116BN"/>
    <x v="58"/>
    <x v="1"/>
    <n v="2364"/>
  </r>
  <r>
    <s v="117AN"/>
    <x v="59"/>
    <x v="0"/>
    <n v="750"/>
  </r>
  <r>
    <s v="117BN"/>
    <x v="59"/>
    <x v="1"/>
    <n v="345"/>
  </r>
  <r>
    <m/>
    <x v="60"/>
    <x v="0"/>
    <n v="1378"/>
  </r>
  <r>
    <m/>
    <x v="60"/>
    <x v="1"/>
    <n v="929"/>
  </r>
  <r>
    <s v="119A"/>
    <x v="61"/>
    <x v="0"/>
    <n v="754"/>
  </r>
  <r>
    <s v="119B"/>
    <x v="61"/>
    <x v="1"/>
    <n v="582"/>
  </r>
  <r>
    <s v="120AN"/>
    <x v="62"/>
    <x v="0"/>
    <n v="12"/>
  </r>
  <r>
    <s v="120BN"/>
    <x v="62"/>
    <x v="1"/>
    <n v="118"/>
  </r>
  <r>
    <s v="121AN"/>
    <x v="63"/>
    <x v="0"/>
    <n v="0"/>
  </r>
  <r>
    <s v="121BN"/>
    <x v="63"/>
    <x v="1"/>
    <n v="0"/>
  </r>
  <r>
    <s v="122AN"/>
    <x v="64"/>
    <x v="0"/>
    <n v="2650"/>
  </r>
  <r>
    <s v="122BN"/>
    <x v="64"/>
    <x v="1"/>
    <n v="1147"/>
  </r>
  <r>
    <s v="123AN"/>
    <x v="65"/>
    <x v="0"/>
    <n v="0"/>
  </r>
  <r>
    <s v="123BN"/>
    <x v="65"/>
    <x v="1"/>
    <n v="0"/>
  </r>
  <r>
    <s v="124AN"/>
    <x v="66"/>
    <x v="0"/>
    <n v="2564"/>
  </r>
  <r>
    <s v="124BN"/>
    <x v="66"/>
    <x v="1"/>
    <n v="2102"/>
  </r>
  <r>
    <s v="125AN"/>
    <x v="67"/>
    <x v="0"/>
    <n v="1891"/>
  </r>
  <r>
    <s v="125BN"/>
    <x v="67"/>
    <x v="1"/>
    <n v="891"/>
  </r>
  <r>
    <s v="126AN"/>
    <x v="68"/>
    <x v="0"/>
    <n v="2057"/>
  </r>
  <r>
    <s v="126BN"/>
    <x v="68"/>
    <x v="1"/>
    <n v="1686"/>
  </r>
  <r>
    <s v="127AN"/>
    <x v="69"/>
    <x v="0"/>
    <n v="926"/>
  </r>
  <r>
    <s v="127BN"/>
    <x v="69"/>
    <x v="1"/>
    <n v="1187"/>
  </r>
  <r>
    <s v="128AN"/>
    <x v="70"/>
    <x v="0"/>
    <n v="2434"/>
  </r>
  <r>
    <s v="128BN"/>
    <x v="70"/>
    <x v="1"/>
    <n v="1076"/>
  </r>
  <r>
    <m/>
    <x v="71"/>
    <x v="0"/>
    <n v="1517"/>
  </r>
  <r>
    <m/>
    <x v="71"/>
    <x v="1"/>
    <n v="811"/>
  </r>
  <r>
    <s v="130A"/>
    <x v="72"/>
    <x v="0"/>
    <n v="0"/>
  </r>
  <r>
    <s v="130BN"/>
    <x v="72"/>
    <x v="1"/>
    <n v="125"/>
  </r>
  <r>
    <m/>
    <x v="73"/>
    <x v="0"/>
    <n v="1040"/>
  </r>
  <r>
    <m/>
    <x v="73"/>
    <x v="1"/>
    <n v="1642"/>
  </r>
  <r>
    <s v="132AN"/>
    <x v="74"/>
    <x v="0"/>
    <n v="821"/>
  </r>
  <r>
    <s v="132BN"/>
    <x v="74"/>
    <x v="1"/>
    <n v="561"/>
  </r>
  <r>
    <s v="133AN"/>
    <x v="75"/>
    <x v="0"/>
    <n v="951"/>
  </r>
  <r>
    <s v="133BN"/>
    <x v="75"/>
    <x v="1"/>
    <n v="573.5"/>
  </r>
  <r>
    <s v="134AN"/>
    <x v="76"/>
    <x v="0"/>
    <n v="12"/>
  </r>
  <r>
    <s v="134BN"/>
    <x v="76"/>
    <x v="1"/>
    <n v="0"/>
  </r>
  <r>
    <m/>
    <x v="77"/>
    <x v="0"/>
    <n v="0"/>
  </r>
  <r>
    <m/>
    <x v="77"/>
    <x v="1"/>
    <n v="0"/>
  </r>
  <r>
    <m/>
    <x v="78"/>
    <x v="0"/>
    <n v="1396"/>
  </r>
  <r>
    <m/>
    <x v="78"/>
    <x v="1"/>
    <n v="916"/>
  </r>
  <r>
    <s v="137AN"/>
    <x v="79"/>
    <x v="0"/>
    <n v="1476"/>
  </r>
  <r>
    <s v="137BN"/>
    <x v="79"/>
    <x v="1"/>
    <n v="1194"/>
  </r>
  <r>
    <s v="138AN"/>
    <x v="80"/>
    <x v="0"/>
    <n v="1220"/>
  </r>
  <r>
    <s v="138BN"/>
    <x v="80"/>
    <x v="1"/>
    <n v="2529"/>
  </r>
  <r>
    <m/>
    <x v="81"/>
    <x v="0"/>
    <n v="780"/>
  </r>
  <r>
    <m/>
    <x v="81"/>
    <x v="1"/>
    <n v="557"/>
  </r>
  <r>
    <s v="140AN"/>
    <x v="82"/>
    <x v="0"/>
    <n v="1415"/>
  </r>
  <r>
    <s v="140BN"/>
    <x v="82"/>
    <x v="1"/>
    <n v="833"/>
  </r>
  <r>
    <s v="141AN"/>
    <x v="83"/>
    <x v="0"/>
    <n v="1552"/>
  </r>
  <r>
    <s v="141BN"/>
    <x v="83"/>
    <x v="1"/>
    <n v="561"/>
  </r>
  <r>
    <s v="142AN"/>
    <x v="84"/>
    <x v="0"/>
    <n v="2799"/>
  </r>
  <r>
    <s v="142BN"/>
    <x v="84"/>
    <x v="1"/>
    <n v="1299"/>
  </r>
  <r>
    <s v="148AN"/>
    <x v="85"/>
    <x v="0"/>
    <n v="392"/>
  </r>
  <r>
    <s v="148BN"/>
    <x v="85"/>
    <x v="1"/>
    <n v="156"/>
  </r>
  <r>
    <s v="149AN"/>
    <x v="86"/>
    <x v="0"/>
    <n v="465"/>
  </r>
  <r>
    <s v="149BN"/>
    <x v="86"/>
    <x v="1"/>
    <n v="1025"/>
  </r>
  <r>
    <s v="150AN"/>
    <x v="87"/>
    <x v="0"/>
    <n v="931"/>
  </r>
  <r>
    <s v="150BN"/>
    <x v="87"/>
    <x v="1"/>
    <n v="712"/>
  </r>
  <r>
    <s v="151AN"/>
    <x v="88"/>
    <x v="0"/>
    <n v="510"/>
  </r>
  <r>
    <s v="151BN"/>
    <x v="88"/>
    <x v="1"/>
    <n v="557"/>
  </r>
  <r>
    <m/>
    <x v="89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raaitabel1" cacheId="0" applyNumberFormats="0" applyBorderFormats="0" applyFontFormats="0" applyPatternFormats="0" applyAlignmentFormats="0" applyWidthHeightFormats="1" dataCaption="Waarden" updatedVersion="6" minRefreshableVersion="3" useAutoFormatting="1" itemPrintTitles="1" createdVersion="8" indent="0" outline="1" outlineData="1" multipleFieldFilters="0">
  <location ref="G1:K93" firstHeaderRow="1" firstDataRow="2" firstDataCol="1"/>
  <pivotFields count="4">
    <pivotField showAll="0"/>
    <pivotField axis="axisRow" showAll="0">
      <items count="91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4"/>
        <item x="35"/>
        <item x="36"/>
        <item x="37"/>
        <item x="39"/>
        <item x="40"/>
        <item x="41"/>
        <item x="43"/>
        <item x="44"/>
        <item x="45"/>
        <item x="46"/>
        <item x="47"/>
        <item x="48"/>
        <item x="50"/>
        <item x="51"/>
        <item x="52"/>
        <item x="55"/>
        <item x="57"/>
        <item x="58"/>
        <item x="59"/>
        <item x="61"/>
        <item x="62"/>
        <item x="63"/>
        <item x="64"/>
        <item x="65"/>
        <item x="66"/>
        <item x="67"/>
        <item x="68"/>
        <item x="69"/>
        <item x="70"/>
        <item x="72"/>
        <item x="74"/>
        <item x="75"/>
        <item x="76"/>
        <item x="79"/>
        <item x="80"/>
        <item x="82"/>
        <item x="83"/>
        <item x="84"/>
        <item x="85"/>
        <item x="86"/>
        <item x="87"/>
        <item x="88"/>
        <item x="89"/>
        <item x="31"/>
        <item x="32"/>
        <item x="0"/>
        <item x="1"/>
        <item x="19"/>
        <item x="38"/>
        <item x="56"/>
        <item x="77"/>
        <item x="73"/>
        <item x="78"/>
        <item x="53"/>
        <item x="81"/>
        <item x="71"/>
        <item x="54"/>
        <item x="49"/>
        <item x="42"/>
        <item x="6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dry weight (mg)" fld="3" subtotal="average" baseField="1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2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Col="1" outline="0" fieldPosition="0"/>
    </format>
    <format dxfId="3">
      <pivotArea dataOnly="0" fieldPosition="0">
        <references count="1">
          <reference field="1" count="1">
            <x v="0"/>
          </reference>
        </references>
      </pivotArea>
    </format>
    <format dxfId="2">
      <pivotArea collapsedLevelsAreSubtotals="1" fieldPosition="0">
        <references count="1">
          <reference field="1" count="1">
            <x v="0"/>
          </reference>
        </references>
      </pivotArea>
    </format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0">
      <pivotArea dataOnly="0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" dT="2025-11-12T08:33:10.96Z" personId="{75B6C7D6-0107-F51C-A755-425CE77F26FA}" id="{750D5695-E24D-437A-86B5-81CD1CFB106D}" done="0">
    <text xml:space="preserve">?check booklet
</text>
  </threadedComment>
  <threadedComment ref="G19" dT="2025-11-12T08:33:35.24Z" personId="{75B6C7D6-0107-F51C-A755-425CE77F26FA}" id="{E50ACC29-A39A-45E8-99D8-DB2F209B5289}" done="0">
    <text xml:space="preserve">No number in booklet
</text>
  </threadedComment>
  <threadedComment ref="G40" dT="2025-11-12T08:34:44.84Z" personId="{75B6C7D6-0107-F51C-A755-425CE77F26FA}" id="{E989AD93-086E-4B84-BCB0-75F70F31E996}" done="0">
    <text xml:space="preserve">No number in booklet
</text>
  </threadedComment>
  <threadedComment ref="E6" dT="2025-11-11T13:51:50.80Z" personId="{75B6C7D6-0107-F51C-A755-425CE77F26FA}" id="{50A84D78-0949-442C-8B45-B42A1C631C90}" done="0">
    <text xml:space="preserve">Location just on dyke, adjusted few meters to east
</text>
  </threadedComment>
  <threadedComment ref="E7" dT="2025-11-11T13:51:57.15Z" personId="{75B6C7D6-0107-F51C-A755-425CE77F26FA}" id="{B1E548A4-451D-442C-8170-46B83715A7EA}" done="0">
    <text xml:space="preserve">Location just on dyke, adjusted few meters to east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99"/>
  <sheetViews>
    <sheetView tabSelected="1" zoomScaleNormal="100" workbookViewId="0"/>
  </sheetViews>
  <sheetFormatPr defaultColWidth="12.5703125" defaultRowHeight="15" x14ac:dyDescent="0.25"/>
  <cols>
    <col min="4" max="4" width="7.7109375" bestFit="1" customWidth="1"/>
    <col min="5" max="5" width="9.7109375" bestFit="1" customWidth="1"/>
    <col min="6" max="6" width="9.7109375" customWidth="1"/>
    <col min="7" max="7" width="13.5703125" bestFit="1" customWidth="1"/>
    <col min="8" max="8" width="26.5703125" customWidth="1"/>
    <col min="9" max="9" width="19.5703125" customWidth="1"/>
    <col min="10" max="10" width="21.7109375" customWidth="1"/>
    <col min="11" max="11" width="19.140625" customWidth="1"/>
  </cols>
  <sheetData>
    <row r="1" spans="1:11" ht="15.75" x14ac:dyDescent="0.25">
      <c r="A1" s="30" t="s">
        <v>525</v>
      </c>
      <c r="B1" s="30" t="s">
        <v>516</v>
      </c>
      <c r="C1" s="30" t="s">
        <v>456</v>
      </c>
      <c r="D1" s="30" t="s">
        <v>514</v>
      </c>
      <c r="E1" s="30" t="s">
        <v>515</v>
      </c>
      <c r="F1" s="30" t="s">
        <v>526</v>
      </c>
      <c r="G1" s="31" t="s">
        <v>521</v>
      </c>
      <c r="H1" s="31" t="s">
        <v>520</v>
      </c>
      <c r="I1" s="31" t="s">
        <v>522</v>
      </c>
      <c r="J1" s="31" t="s">
        <v>523</v>
      </c>
      <c r="K1" s="31" t="s">
        <v>524</v>
      </c>
    </row>
    <row r="2" spans="1:11" ht="15.75" x14ac:dyDescent="0.25">
      <c r="A2" s="30" t="s">
        <v>454</v>
      </c>
      <c r="B2" s="30" t="s">
        <v>455</v>
      </c>
      <c r="C2" s="30" t="s">
        <v>517</v>
      </c>
      <c r="D2" t="s">
        <v>264</v>
      </c>
      <c r="E2" t="str">
        <f t="shared" ref="E2:E33" si="0">CONCATENATE(SUBSTITUTE(D2, " ", "_"), "_", IF(B2 = "Leaves", "A", IF(B2 = "Roots", "B", NA)))</f>
        <v>NG_5_A</v>
      </c>
      <c r="F2" t="str">
        <f>INDEX(raw!$B$2:$I$100,MATCH(data!D2,raw!$B$2:$B$108, 0), MATCH(data!F$1,raw!$B$1:$I$1, 0))</f>
        <v>seagrass</v>
      </c>
      <c r="G2" s="53">
        <f>IFERROR(INDEX(raw!$J$2:$K$86,MATCH(data!D2,raw!$B$2:$B$100,0),MATCH(data!B2,raw!$J$1:$K$1,0)), "NA")</f>
        <v>780</v>
      </c>
      <c r="H2" s="66">
        <f>IF($F2 = "bare", 0, IFERROR(INDEX(carbon!$A$14:$J$93,MATCH("*"&amp;$E2&amp;"*",carbon!$A$14:$A$93,0),2), "NA"))</f>
        <v>78.52</v>
      </c>
      <c r="I2" s="66">
        <f>IF($F2 = "bare", 0, IFERROR(INDEX(carbon!$A$14:$J$93,MATCH("*"&amp;$E2&amp;"*",carbon!$A$14:$A$93,0),4), "NA"))</f>
        <v>24.32</v>
      </c>
      <c r="J2" s="66">
        <f>IF($F2 = "bare", 0, IFERROR(INDEX(carbon!$A$14:$J$93,MATCH("*"&amp;$E2&amp;"*",carbon!$A$14:$A$93,0),6), "NA"))</f>
        <v>211.87</v>
      </c>
      <c r="K2" s="66">
        <f>IF($F2 = "bare", 0, IFERROR(INDEX(carbon!$A$14:$J$93,MATCH("*"&amp;$E2&amp;"*",carbon!$A$14:$A$93,0),8), "NA"))</f>
        <v>2.3180000000000001</v>
      </c>
    </row>
    <row r="3" spans="1:11" ht="15.75" x14ac:dyDescent="0.25">
      <c r="A3" s="30" t="s">
        <v>454</v>
      </c>
      <c r="B3" s="30" t="s">
        <v>453</v>
      </c>
      <c r="C3" s="30" t="s">
        <v>517</v>
      </c>
      <c r="D3" t="s">
        <v>264</v>
      </c>
      <c r="E3" t="str">
        <f t="shared" si="0"/>
        <v>NG_5_B</v>
      </c>
      <c r="F3" t="str">
        <f>INDEX(raw!$B$2:$I$100,MATCH(data!D3,raw!$B$2:$B$108, 0), MATCH(data!F$1,raw!$B$1:$I$1, 0))</f>
        <v>seagrass</v>
      </c>
      <c r="G3" s="53">
        <f>IFERROR(INDEX(raw!$J$2:$K$86,MATCH(data!D3,raw!$B$2:$B$100,0),MATCH(data!B3,raw!$J$1:$K$1,0)), "NA")</f>
        <v>557</v>
      </c>
      <c r="H3" s="66">
        <f>IF($F3 = "bare", 0, IFERROR(INDEX(carbon!$A$14:$J$93,MATCH("*"&amp;$E3&amp;"*",carbon!$A$14:$A$93,0),2), "NA"))</f>
        <v>70.52</v>
      </c>
      <c r="I3" s="66">
        <f>IF($F3 = "bare", 0, IFERROR(INDEX(carbon!$A$14:$J$93,MATCH("*"&amp;$E3&amp;"*",carbon!$A$14:$A$93,0),4), "NA"))</f>
        <v>17.850000000000001</v>
      </c>
      <c r="J3" s="66">
        <f>IF($F3 = "bare", 0, IFERROR(INDEX(carbon!$A$14:$J$93,MATCH("*"&amp;$E3&amp;"*",carbon!$A$14:$A$93,0),6), "NA"))</f>
        <v>189.89</v>
      </c>
      <c r="K3" s="66">
        <f>IF($F3 = "bare", 0, IFERROR(INDEX(carbon!$A$14:$J$93,MATCH("*"&amp;$E3&amp;"*",carbon!$A$14:$A$93,0),8), "NA"))</f>
        <v>1.5349999999999999</v>
      </c>
    </row>
    <row r="4" spans="1:11" ht="15.75" x14ac:dyDescent="0.25">
      <c r="A4" s="30" t="s">
        <v>454</v>
      </c>
      <c r="B4" s="30" t="s">
        <v>455</v>
      </c>
      <c r="C4" s="30" t="s">
        <v>517</v>
      </c>
      <c r="D4" t="s">
        <v>266</v>
      </c>
      <c r="E4" t="str">
        <f t="shared" si="0"/>
        <v>NG_6_A</v>
      </c>
      <c r="F4" t="str">
        <f>INDEX(raw!$B$2:$I$100,MATCH(data!D4,raw!$B$2:$B$108, 0), MATCH(data!F$1,raw!$B$1:$I$1, 0))</f>
        <v>seagrass</v>
      </c>
      <c r="G4" s="53">
        <f>IFERROR(INDEX(raw!$J$2:$K$86,MATCH(data!D4,raw!$B$2:$B$100,0),MATCH(data!B4,raw!$J$1:$K$1,0)), "NA")</f>
        <v>1415</v>
      </c>
      <c r="H4" s="66" t="str">
        <f>IF($F4 = "bare", 0, IFERROR(INDEX(carbon!$A$14:$J$93,MATCH("*"&amp;$E4&amp;"*",carbon!$A$14:$A$93,0),2), "NA"))</f>
        <v>NA</v>
      </c>
      <c r="I4" s="66" t="str">
        <f>IF($F4 = "bare", 0, IFERROR(INDEX(carbon!$A$14:$J$93,MATCH("*"&amp;$E4&amp;"*",carbon!$A$14:$A$93,0),4), "NA"))</f>
        <v>NA</v>
      </c>
      <c r="J4" s="66" t="str">
        <f>IF($F4 = "bare", 0, IFERROR(INDEX(carbon!$A$14:$J$93,MATCH("*"&amp;$E4&amp;"*",carbon!$A$14:$A$93,0),6), "NA"))</f>
        <v>NA</v>
      </c>
      <c r="K4" s="66" t="str">
        <f>IF($F4 = "bare", 0, IFERROR(INDEX(carbon!$A$14:$J$93,MATCH("*"&amp;$E4&amp;"*",carbon!$A$14:$A$93,0),8), "NA"))</f>
        <v>NA</v>
      </c>
    </row>
    <row r="5" spans="1:11" ht="15.75" x14ac:dyDescent="0.25">
      <c r="A5" s="30" t="s">
        <v>454</v>
      </c>
      <c r="B5" s="30" t="s">
        <v>453</v>
      </c>
      <c r="C5" s="30" t="s">
        <v>517</v>
      </c>
      <c r="D5" t="s">
        <v>266</v>
      </c>
      <c r="E5" t="str">
        <f t="shared" si="0"/>
        <v>NG_6_B</v>
      </c>
      <c r="F5" t="str">
        <f>INDEX(raw!$B$2:$I$100,MATCH(data!D5,raw!$B$2:$B$108, 0), MATCH(data!F$1,raw!$B$1:$I$1, 0))</f>
        <v>seagrass</v>
      </c>
      <c r="G5" s="53">
        <f>IFERROR(INDEX(raw!$J$2:$K$86,MATCH(data!D5,raw!$B$2:$B$100,0),MATCH(data!B5,raw!$J$1:$K$1,0)), "NA")</f>
        <v>833</v>
      </c>
      <c r="H5" s="66" t="str">
        <f>IF($F5 = "bare", 0, IFERROR(INDEX(carbon!$A$14:$J$93,MATCH("*"&amp;$E5&amp;"*",carbon!$A$14:$A$93,0),2), "NA"))</f>
        <v>NA</v>
      </c>
      <c r="I5" s="66" t="str">
        <f>IF($F5 = "bare", 0, IFERROR(INDEX(carbon!$A$14:$J$93,MATCH("*"&amp;$E5&amp;"*",carbon!$A$14:$A$93,0),4), "NA"))</f>
        <v>NA</v>
      </c>
      <c r="J5" s="66" t="str">
        <f>IF($F5 = "bare", 0, IFERROR(INDEX(carbon!$A$14:$J$93,MATCH("*"&amp;$E5&amp;"*",carbon!$A$14:$A$93,0),6), "NA"))</f>
        <v>NA</v>
      </c>
      <c r="K5" s="66" t="str">
        <f>IF($F5 = "bare", 0, IFERROR(INDEX(carbon!$A$14:$J$93,MATCH("*"&amp;$E5&amp;"*",carbon!$A$14:$A$93,0),8), "NA"))</f>
        <v>NA</v>
      </c>
    </row>
    <row r="6" spans="1:11" ht="15.75" x14ac:dyDescent="0.25">
      <c r="A6" s="30" t="s">
        <v>454</v>
      </c>
      <c r="B6" s="30" t="s">
        <v>455</v>
      </c>
      <c r="C6" s="30" t="s">
        <v>517</v>
      </c>
      <c r="D6" t="s">
        <v>268</v>
      </c>
      <c r="E6" t="str">
        <f t="shared" si="0"/>
        <v>NG_7_A</v>
      </c>
      <c r="F6" t="str">
        <f>INDEX(raw!$B$2:$I$100,MATCH(data!D6,raw!$B$2:$B$108, 0), MATCH(data!F$1,raw!$B$1:$I$1, 0))</f>
        <v>seagrass</v>
      </c>
      <c r="G6" s="53">
        <f>IFERROR(INDEX(raw!$J$2:$K$86,MATCH(data!D6,raw!$B$2:$B$100,0),MATCH(data!B6,raw!$J$1:$K$1,0)), "NA")</f>
        <v>1552</v>
      </c>
      <c r="H6" s="66" t="str">
        <f>IF($F6 = "bare", 0, IFERROR(INDEX(carbon!$A$14:$J$93,MATCH("*"&amp;$E6&amp;"*",carbon!$A$14:$A$93,0),2), "NA"))</f>
        <v>NA</v>
      </c>
      <c r="I6" s="66" t="str">
        <f>IF($F6 = "bare", 0, IFERROR(INDEX(carbon!$A$14:$J$93,MATCH("*"&amp;$E6&amp;"*",carbon!$A$14:$A$93,0),4), "NA"))</f>
        <v>NA</v>
      </c>
      <c r="J6" s="66" t="str">
        <f>IF($F6 = "bare", 0, IFERROR(INDEX(carbon!$A$14:$J$93,MATCH("*"&amp;$E6&amp;"*",carbon!$A$14:$A$93,0),6), "NA"))</f>
        <v>NA</v>
      </c>
      <c r="K6" s="66" t="str">
        <f>IF($F6 = "bare", 0, IFERROR(INDEX(carbon!$A$14:$J$93,MATCH("*"&amp;$E6&amp;"*",carbon!$A$14:$A$93,0),8), "NA"))</f>
        <v>NA</v>
      </c>
    </row>
    <row r="7" spans="1:11" ht="15.75" x14ac:dyDescent="0.25">
      <c r="A7" s="30" t="s">
        <v>454</v>
      </c>
      <c r="B7" s="30" t="s">
        <v>453</v>
      </c>
      <c r="C7" s="30" t="s">
        <v>517</v>
      </c>
      <c r="D7" t="s">
        <v>268</v>
      </c>
      <c r="E7" t="str">
        <f t="shared" si="0"/>
        <v>NG_7_B</v>
      </c>
      <c r="F7" t="str">
        <f>INDEX(raw!$B$2:$I$100,MATCH(data!D7,raw!$B$2:$B$108, 0), MATCH(data!F$1,raw!$B$1:$I$1, 0))</f>
        <v>seagrass</v>
      </c>
      <c r="G7" s="53">
        <f>IFERROR(INDEX(raw!$J$2:$K$86,MATCH(data!D7,raw!$B$2:$B$100,0),MATCH(data!B7,raw!$J$1:$K$1,0)), "NA")</f>
        <v>561</v>
      </c>
      <c r="H7" s="66" t="str">
        <f>IF($F7 = "bare", 0, IFERROR(INDEX(carbon!$A$14:$J$93,MATCH("*"&amp;$E7&amp;"*",carbon!$A$14:$A$93,0),2), "NA"))</f>
        <v>NA</v>
      </c>
      <c r="I7" s="66" t="str">
        <f>IF($F7 = "bare", 0, IFERROR(INDEX(carbon!$A$14:$J$93,MATCH("*"&amp;$E7&amp;"*",carbon!$A$14:$A$93,0),4), "NA"))</f>
        <v>NA</v>
      </c>
      <c r="J7" s="66" t="str">
        <f>IF($F7 = "bare", 0, IFERROR(INDEX(carbon!$A$14:$J$93,MATCH("*"&amp;$E7&amp;"*",carbon!$A$14:$A$93,0),6), "NA"))</f>
        <v>NA</v>
      </c>
      <c r="K7" s="66" t="str">
        <f>IF($F7 = "bare", 0, IFERROR(INDEX(carbon!$A$14:$J$93,MATCH("*"&amp;$E7&amp;"*",carbon!$A$14:$A$93,0),8), "NA"))</f>
        <v>NA</v>
      </c>
    </row>
    <row r="8" spans="1:11" ht="15.75" x14ac:dyDescent="0.25">
      <c r="A8" s="30" t="s">
        <v>454</v>
      </c>
      <c r="B8" s="30" t="s">
        <v>455</v>
      </c>
      <c r="C8" s="30" t="s">
        <v>517</v>
      </c>
      <c r="D8" t="s">
        <v>270</v>
      </c>
      <c r="E8" t="str">
        <f t="shared" si="0"/>
        <v>NG_8_A</v>
      </c>
      <c r="F8" t="str">
        <f>INDEX(raw!$B$2:$I$100,MATCH(data!D8,raw!$B$2:$B$108, 0), MATCH(data!F$1,raw!$B$1:$I$1, 0))</f>
        <v>seagrass</v>
      </c>
      <c r="G8" s="53">
        <f>IFERROR(INDEX(raw!$J$2:$K$86,MATCH(data!D8,raw!$B$2:$B$100,0),MATCH(data!B8,raw!$J$1:$K$1,0)), "NA")</f>
        <v>2799</v>
      </c>
      <c r="H8" s="66">
        <f>IF($F8 = "bare", 0, IFERROR(INDEX(carbon!$A$14:$J$93,MATCH("*"&amp;$E8&amp;"*",carbon!$A$14:$A$93,0),2), "NA"))</f>
        <v>71.180000000000007</v>
      </c>
      <c r="I8" s="66">
        <f>IF($F8 = "bare", 0, IFERROR(INDEX(carbon!$A$14:$J$93,MATCH("*"&amp;$E8&amp;"*",carbon!$A$14:$A$93,0),4), "NA"))</f>
        <v>20.43</v>
      </c>
      <c r="J8" s="66">
        <f>IF($F8 = "bare", 0, IFERROR(INDEX(carbon!$A$14:$J$93,MATCH("*"&amp;$E8&amp;"*",carbon!$A$14:$A$93,0),6), "NA"))</f>
        <v>230.9</v>
      </c>
      <c r="K8" s="66">
        <f>IF($F8 = "bare", 0, IFERROR(INDEX(carbon!$A$14:$J$93,MATCH("*"&amp;$E8&amp;"*",carbon!$A$14:$A$93,0),8), "NA"))</f>
        <v>1.3680000000000001</v>
      </c>
    </row>
    <row r="9" spans="1:11" ht="15.75" x14ac:dyDescent="0.25">
      <c r="A9" s="30" t="s">
        <v>454</v>
      </c>
      <c r="B9" s="30" t="s">
        <v>453</v>
      </c>
      <c r="C9" s="30" t="s">
        <v>517</v>
      </c>
      <c r="D9" t="s">
        <v>270</v>
      </c>
      <c r="E9" t="str">
        <f t="shared" si="0"/>
        <v>NG_8_B</v>
      </c>
      <c r="F9" t="str">
        <f>INDEX(raw!$B$2:$I$100,MATCH(data!D9,raw!$B$2:$B$108, 0), MATCH(data!F$1,raw!$B$1:$I$1, 0))</f>
        <v>seagrass</v>
      </c>
      <c r="G9" s="53">
        <f>IFERROR(INDEX(raw!$J$2:$K$86,MATCH(data!D9,raw!$B$2:$B$100,0),MATCH(data!B9,raw!$J$1:$K$1,0)), "NA")</f>
        <v>1299</v>
      </c>
      <c r="H9" s="66">
        <f>IF($F9 = "bare", 0, IFERROR(INDEX(carbon!$A$14:$J$93,MATCH("*"&amp;$E9&amp;"*",carbon!$A$14:$A$93,0),2), "NA"))</f>
        <v>78.010000000000005</v>
      </c>
      <c r="I9" s="66">
        <f>IF($F9 = "bare", 0, IFERROR(INDEX(carbon!$A$14:$J$93,MATCH("*"&amp;$E9&amp;"*",carbon!$A$14:$A$93,0),4), "NA"))</f>
        <v>20.02</v>
      </c>
      <c r="J9" s="66">
        <f>IF($F9 = "bare", 0, IFERROR(INDEX(carbon!$A$14:$J$93,MATCH("*"&amp;$E9&amp;"*",carbon!$A$14:$A$93,0),6), "NA"))</f>
        <v>266.81</v>
      </c>
      <c r="K9" s="66">
        <f>IF($F9 = "bare", 0, IFERROR(INDEX(carbon!$A$14:$J$93,MATCH("*"&amp;$E9&amp;"*",carbon!$A$14:$A$93,0),8), "NA"))</f>
        <v>1.075</v>
      </c>
    </row>
    <row r="10" spans="1:11" ht="15.75" x14ac:dyDescent="0.25">
      <c r="A10" s="30" t="s">
        <v>454</v>
      </c>
      <c r="B10" s="30" t="s">
        <v>455</v>
      </c>
      <c r="C10" s="30" t="s">
        <v>517</v>
      </c>
      <c r="D10" t="s">
        <v>286</v>
      </c>
      <c r="E10" t="str">
        <f t="shared" si="0"/>
        <v>NG_9_A</v>
      </c>
      <c r="F10" t="str">
        <f>INDEX(raw!$B$2:$I$100,MATCH(data!D10,raw!$B$2:$B$108, 0), MATCH(data!F$1,raw!$B$1:$I$1, 0))</f>
        <v>marsh</v>
      </c>
      <c r="G10" s="53" t="str">
        <f>IFERROR(INDEX(raw!$J$2:$K$86,MATCH(data!D10,raw!$B$2:$B$100,0),MATCH(data!B10,raw!$J$1:$K$1,0)), "NA")</f>
        <v>NA</v>
      </c>
      <c r="H10" s="66" t="str">
        <f>IF($F10 = "bare", 0, IFERROR(INDEX(carbon!$A$14:$J$93,MATCH("*"&amp;$E10&amp;"*",carbon!$A$14:$A$93,0),2), "NA"))</f>
        <v>NA</v>
      </c>
      <c r="I10" s="66" t="str">
        <f>IF($F10 = "bare", 0, IFERROR(INDEX(carbon!$A$14:$J$93,MATCH("*"&amp;$E10&amp;"*",carbon!$A$14:$A$93,0),4), "NA"))</f>
        <v>NA</v>
      </c>
      <c r="J10" s="66" t="str">
        <f>IF($F10 = "bare", 0, IFERROR(INDEX(carbon!$A$14:$J$93,MATCH("*"&amp;$E10&amp;"*",carbon!$A$14:$A$93,0),6), "NA"))</f>
        <v>NA</v>
      </c>
      <c r="K10" s="66" t="str">
        <f>IF($F10 = "bare", 0, IFERROR(INDEX(carbon!$A$14:$J$93,MATCH("*"&amp;$E10&amp;"*",carbon!$A$14:$A$93,0),8), "NA"))</f>
        <v>NA</v>
      </c>
    </row>
    <row r="11" spans="1:11" ht="15.75" x14ac:dyDescent="0.25">
      <c r="A11" s="30" t="s">
        <v>454</v>
      </c>
      <c r="B11" s="30" t="s">
        <v>453</v>
      </c>
      <c r="C11" s="30" t="s">
        <v>517</v>
      </c>
      <c r="D11" t="s">
        <v>286</v>
      </c>
      <c r="E11" t="str">
        <f t="shared" si="0"/>
        <v>NG_9_B</v>
      </c>
      <c r="F11" t="str">
        <f>INDEX(raw!$B$2:$I$100,MATCH(data!D11,raw!$B$2:$B$108, 0), MATCH(data!F$1,raw!$B$1:$I$1, 0))</f>
        <v>marsh</v>
      </c>
      <c r="G11" s="53" t="str">
        <f>IFERROR(INDEX(raw!$J$2:$K$86,MATCH(data!D11,raw!$B$2:$B$100,0),MATCH(data!B11,raw!$J$1:$K$1,0)), "NA")</f>
        <v>NA</v>
      </c>
      <c r="H11" s="66" t="str">
        <f>IF($F11 = "bare", 0, IFERROR(INDEX(carbon!$A$14:$J$93,MATCH("*"&amp;$E11&amp;"*",carbon!$A$14:$A$93,0),2), "NA"))</f>
        <v>NA</v>
      </c>
      <c r="I11" s="66" t="str">
        <f>IF($F11 = "bare", 0, IFERROR(INDEX(carbon!$A$14:$J$93,MATCH("*"&amp;$E11&amp;"*",carbon!$A$14:$A$93,0),4), "NA"))</f>
        <v>NA</v>
      </c>
      <c r="J11" s="66" t="str">
        <f>IF($F11 = "bare", 0, IFERROR(INDEX(carbon!$A$14:$J$93,MATCH("*"&amp;$E11&amp;"*",carbon!$A$14:$A$93,0),6), "NA"))</f>
        <v>NA</v>
      </c>
      <c r="K11" s="66" t="str">
        <f>IF($F11 = "bare", 0, IFERROR(INDEX(carbon!$A$14:$J$93,MATCH("*"&amp;$E11&amp;"*",carbon!$A$14:$A$93,0),8), "NA"))</f>
        <v>NA</v>
      </c>
    </row>
    <row r="12" spans="1:11" ht="15.75" x14ac:dyDescent="0.25">
      <c r="A12" s="30" t="s">
        <v>454</v>
      </c>
      <c r="B12" s="30" t="s">
        <v>455</v>
      </c>
      <c r="C12" s="30" t="s">
        <v>517</v>
      </c>
      <c r="D12" t="s">
        <v>260</v>
      </c>
      <c r="E12" t="str">
        <f t="shared" si="0"/>
        <v>NG_10_A</v>
      </c>
      <c r="F12" t="str">
        <f>INDEX(raw!$B$2:$I$100,MATCH(data!D12,raw!$B$2:$B$108, 0), MATCH(data!F$1,raw!$B$1:$I$1, 0))</f>
        <v>seagrass</v>
      </c>
      <c r="G12" s="53">
        <f>IFERROR(INDEX(raw!$J$2:$K$86,MATCH(data!D12,raw!$B$2:$B$100,0),MATCH(data!B12,raw!$J$1:$K$1,0)), "NA")</f>
        <v>1476</v>
      </c>
      <c r="H12" s="66" t="str">
        <f>IF($F12 = "bare", 0, IFERROR(INDEX(carbon!$A$14:$J$93,MATCH("*"&amp;$E12&amp;"*",carbon!$A$14:$A$93,0),2), "NA"))</f>
        <v>NA</v>
      </c>
      <c r="I12" s="66" t="str">
        <f>IF($F12 = "bare", 0, IFERROR(INDEX(carbon!$A$14:$J$93,MATCH("*"&amp;$E12&amp;"*",carbon!$A$14:$A$93,0),4), "NA"))</f>
        <v>NA</v>
      </c>
      <c r="J12" s="66" t="str">
        <f>IF($F12 = "bare", 0, IFERROR(INDEX(carbon!$A$14:$J$93,MATCH("*"&amp;$E12&amp;"*",carbon!$A$14:$A$93,0),6), "NA"))</f>
        <v>NA</v>
      </c>
      <c r="K12" s="66" t="str">
        <f>IF($F12 = "bare", 0, IFERROR(INDEX(carbon!$A$14:$J$93,MATCH("*"&amp;$E12&amp;"*",carbon!$A$14:$A$93,0),8), "NA"))</f>
        <v>NA</v>
      </c>
    </row>
    <row r="13" spans="1:11" ht="15.75" x14ac:dyDescent="0.25">
      <c r="A13" s="30" t="s">
        <v>454</v>
      </c>
      <c r="B13" s="30" t="s">
        <v>453</v>
      </c>
      <c r="C13" s="30" t="s">
        <v>517</v>
      </c>
      <c r="D13" t="s">
        <v>260</v>
      </c>
      <c r="E13" t="str">
        <f t="shared" si="0"/>
        <v>NG_10_B</v>
      </c>
      <c r="F13" t="str">
        <f>INDEX(raw!$B$2:$I$100,MATCH(data!D13,raw!$B$2:$B$108, 0), MATCH(data!F$1,raw!$B$1:$I$1, 0))</f>
        <v>seagrass</v>
      </c>
      <c r="G13" s="53">
        <f>IFERROR(INDEX(raw!$J$2:$K$86,MATCH(data!D13,raw!$B$2:$B$100,0),MATCH(data!B13,raw!$J$1:$K$1,0)), "NA")</f>
        <v>1194</v>
      </c>
      <c r="H13" s="66" t="str">
        <f>IF($F13 = "bare", 0, IFERROR(INDEX(carbon!$A$14:$J$93,MATCH("*"&amp;$E13&amp;"*",carbon!$A$14:$A$93,0),2), "NA"))</f>
        <v>NA</v>
      </c>
      <c r="I13" s="66" t="str">
        <f>IF($F13 = "bare", 0, IFERROR(INDEX(carbon!$A$14:$J$93,MATCH("*"&amp;$E13&amp;"*",carbon!$A$14:$A$93,0),4), "NA"))</f>
        <v>NA</v>
      </c>
      <c r="J13" s="66" t="str">
        <f>IF($F13 = "bare", 0, IFERROR(INDEX(carbon!$A$14:$J$93,MATCH("*"&amp;$E13&amp;"*",carbon!$A$14:$A$93,0),6), "NA"))</f>
        <v>NA</v>
      </c>
      <c r="K13" s="66" t="str">
        <f>IF($F13 = "bare", 0, IFERROR(INDEX(carbon!$A$14:$J$93,MATCH("*"&amp;$E13&amp;"*",carbon!$A$14:$A$93,0),8), "NA"))</f>
        <v>NA</v>
      </c>
    </row>
    <row r="14" spans="1:11" ht="15.75" x14ac:dyDescent="0.25">
      <c r="A14" s="30" t="s">
        <v>454</v>
      </c>
      <c r="B14" s="30" t="s">
        <v>455</v>
      </c>
      <c r="C14" s="30" t="s">
        <v>517</v>
      </c>
      <c r="D14" t="s">
        <v>256</v>
      </c>
      <c r="E14" t="str">
        <f t="shared" si="0"/>
        <v>NG_11_A</v>
      </c>
      <c r="F14" t="str">
        <f>INDEX(raw!$B$2:$I$100,MATCH(data!D14,raw!$B$2:$B$108, 0), MATCH(data!F$1,raw!$B$1:$I$1, 0))</f>
        <v>bare</v>
      </c>
      <c r="G14" s="53">
        <f>IFERROR(INDEX(raw!$J$2:$K$86,MATCH(data!D14,raw!$B$2:$B$100,0),MATCH(data!B14,raw!$J$1:$K$1,0)), "NA")</f>
        <v>0</v>
      </c>
      <c r="H14" s="66">
        <f>IF($F14 = "bare", 0, IFERROR(INDEX(carbon!$A$14:$J$93,MATCH("*"&amp;$E14&amp;"*",carbon!$A$14:$A$93,0),2), "NA"))</f>
        <v>0</v>
      </c>
      <c r="I14" s="66">
        <f>IF($F14 = "bare", 0, IFERROR(INDEX(carbon!$A$14:$J$93,MATCH("*"&amp;$E14&amp;"*",carbon!$A$14:$A$93,0),4), "NA"))</f>
        <v>0</v>
      </c>
      <c r="J14" s="66">
        <f>IF($F14 = "bare", 0, IFERROR(INDEX(carbon!$A$14:$J$93,MATCH("*"&amp;$E14&amp;"*",carbon!$A$14:$A$93,0),6), "NA"))</f>
        <v>0</v>
      </c>
      <c r="K14" s="66">
        <f>IF($F14 = "bare", 0, IFERROR(INDEX(carbon!$A$14:$J$93,MATCH("*"&amp;$E14&amp;"*",carbon!$A$14:$A$93,0),8), "NA"))</f>
        <v>0</v>
      </c>
    </row>
    <row r="15" spans="1:11" ht="15.75" x14ac:dyDescent="0.25">
      <c r="A15" s="30" t="s">
        <v>454</v>
      </c>
      <c r="B15" s="30" t="s">
        <v>453</v>
      </c>
      <c r="C15" s="30" t="s">
        <v>517</v>
      </c>
      <c r="D15" t="s">
        <v>256</v>
      </c>
      <c r="E15" t="str">
        <f t="shared" si="0"/>
        <v>NG_11_B</v>
      </c>
      <c r="F15" t="str">
        <f>INDEX(raw!$B$2:$I$100,MATCH(data!D15,raw!$B$2:$B$108, 0), MATCH(data!F$1,raw!$B$1:$I$1, 0))</f>
        <v>bare</v>
      </c>
      <c r="G15" s="53">
        <f>IFERROR(INDEX(raw!$J$2:$K$86,MATCH(data!D15,raw!$B$2:$B$100,0),MATCH(data!B15,raw!$J$1:$K$1,0)), "NA")</f>
        <v>0</v>
      </c>
      <c r="H15" s="66">
        <f>IF($F15 = "bare", 0, IFERROR(INDEX(carbon!$A$14:$J$93,MATCH("*"&amp;$E15&amp;"*",carbon!$A$14:$A$93,0),2), "NA"))</f>
        <v>0</v>
      </c>
      <c r="I15" s="66">
        <f>IF($F15 = "bare", 0, IFERROR(INDEX(carbon!$A$14:$J$93,MATCH("*"&amp;$E15&amp;"*",carbon!$A$14:$A$93,0),4), "NA"))</f>
        <v>0</v>
      </c>
      <c r="J15" s="66">
        <f>IF($F15 = "bare", 0, IFERROR(INDEX(carbon!$A$14:$J$93,MATCH("*"&amp;$E15&amp;"*",carbon!$A$14:$A$93,0),6), "NA"))</f>
        <v>0</v>
      </c>
      <c r="K15" s="66">
        <f>IF($F15 = "bare", 0, IFERROR(INDEX(carbon!$A$14:$J$93,MATCH("*"&amp;$E15&amp;"*",carbon!$A$14:$A$93,0),8), "NA"))</f>
        <v>0</v>
      </c>
    </row>
    <row r="16" spans="1:11" ht="15.75" x14ac:dyDescent="0.25">
      <c r="A16" s="30" t="s">
        <v>454</v>
      </c>
      <c r="B16" s="30" t="s">
        <v>455</v>
      </c>
      <c r="C16" s="30" t="s">
        <v>517</v>
      </c>
      <c r="D16" t="s">
        <v>248</v>
      </c>
      <c r="E16" t="str">
        <f t="shared" si="0"/>
        <v>NG_12_A</v>
      </c>
      <c r="F16" t="str">
        <f>INDEX(raw!$B$2:$I$100,MATCH(data!D16,raw!$B$2:$B$108, 0), MATCH(data!F$1,raw!$B$1:$I$1, 0))</f>
        <v>seagrass</v>
      </c>
      <c r="G16" s="53">
        <f>IFERROR(INDEX(raw!$J$2:$K$86,MATCH(data!D16,raw!$B$2:$B$100,0),MATCH(data!B16,raw!$J$1:$K$1,0)), "NA")</f>
        <v>821</v>
      </c>
      <c r="H16" s="66">
        <f>IF($F16 = "bare", 0, IFERROR(INDEX(carbon!$A$14:$J$93,MATCH("*"&amp;$E16&amp;"*",carbon!$A$14:$A$93,0),2), "NA"))</f>
        <v>74.400000000000006</v>
      </c>
      <c r="I16" s="66">
        <f>IF($F16 = "bare", 0, IFERROR(INDEX(carbon!$A$14:$J$93,MATCH("*"&amp;$E16&amp;"*",carbon!$A$14:$A$93,0),4), "NA"))</f>
        <v>21.16</v>
      </c>
      <c r="J16" s="66">
        <f>IF($F16 = "bare", 0, IFERROR(INDEX(carbon!$A$14:$J$93,MATCH("*"&amp;$E16&amp;"*",carbon!$A$14:$A$93,0),6), "NA"))</f>
        <v>200.54</v>
      </c>
      <c r="K16" s="66">
        <f>IF($F16 = "bare", 0, IFERROR(INDEX(carbon!$A$14:$J$93,MATCH("*"&amp;$E16&amp;"*",carbon!$A$14:$A$93,0),8), "NA"))</f>
        <v>1.54</v>
      </c>
    </row>
    <row r="17" spans="1:11" ht="15.75" x14ac:dyDescent="0.25">
      <c r="A17" s="30" t="s">
        <v>454</v>
      </c>
      <c r="B17" s="30" t="s">
        <v>453</v>
      </c>
      <c r="C17" s="30" t="s">
        <v>517</v>
      </c>
      <c r="D17" t="s">
        <v>248</v>
      </c>
      <c r="E17" t="str">
        <f t="shared" si="0"/>
        <v>NG_12_B</v>
      </c>
      <c r="F17" t="str">
        <f>INDEX(raw!$B$2:$I$100,MATCH(data!D17,raw!$B$2:$B$108, 0), MATCH(data!F$1,raw!$B$1:$I$1, 0))</f>
        <v>seagrass</v>
      </c>
      <c r="G17" s="53">
        <f>IFERROR(INDEX(raw!$J$2:$K$86,MATCH(data!D17,raw!$B$2:$B$100,0),MATCH(data!B17,raw!$J$1:$K$1,0)), "NA")</f>
        <v>561</v>
      </c>
      <c r="H17" s="66">
        <f>IF($F17 = "bare", 0, IFERROR(INDEX(carbon!$A$14:$J$93,MATCH("*"&amp;$E17&amp;"*",carbon!$A$14:$A$93,0),2), "NA"))</f>
        <v>76.260000000000005</v>
      </c>
      <c r="I17" s="66">
        <f>IF($F17 = "bare", 0, IFERROR(INDEX(carbon!$A$14:$J$93,MATCH("*"&amp;$E17&amp;"*",carbon!$A$14:$A$93,0),4), "NA"))</f>
        <v>19.3</v>
      </c>
      <c r="J17" s="66">
        <f>IF($F17 = "bare", 0, IFERROR(INDEX(carbon!$A$14:$J$93,MATCH("*"&amp;$E17&amp;"*",carbon!$A$14:$A$93,0),6), "NA"))</f>
        <v>203.5</v>
      </c>
      <c r="K17" s="66">
        <f>IF($F17 = "bare", 0, IFERROR(INDEX(carbon!$A$14:$J$93,MATCH("*"&amp;$E17&amp;"*",carbon!$A$14:$A$93,0),8), "NA"))</f>
        <v>1.37</v>
      </c>
    </row>
    <row r="18" spans="1:11" ht="15.75" x14ac:dyDescent="0.25">
      <c r="A18" s="30" t="s">
        <v>454</v>
      </c>
      <c r="B18" s="30" t="s">
        <v>455</v>
      </c>
      <c r="C18" s="30" t="s">
        <v>517</v>
      </c>
      <c r="D18" t="s">
        <v>232</v>
      </c>
      <c r="E18" t="str">
        <f t="shared" si="0"/>
        <v>NG_13_A</v>
      </c>
      <c r="F18" t="str">
        <f>INDEX(raw!$B$2:$I$100,MATCH(data!D18,raw!$B$2:$B$108, 0), MATCH(data!F$1,raw!$B$1:$I$1, 0))</f>
        <v>seagrass</v>
      </c>
      <c r="G18" s="53">
        <f>IFERROR(INDEX(raw!$J$2:$K$86,MATCH(data!D18,raw!$B$2:$B$100,0),MATCH(data!B18,raw!$J$1:$K$1,0)), "NA")</f>
        <v>2057</v>
      </c>
      <c r="H18" s="66">
        <f>IF($F18 = "bare", 0, IFERROR(INDEX(carbon!$A$14:$J$93,MATCH("*"&amp;$E18&amp;"*",carbon!$A$14:$A$93,0),2), "NA"))</f>
        <v>72.2</v>
      </c>
      <c r="I18" s="66">
        <f>IF($F18 = "bare", 0, IFERROR(INDEX(carbon!$A$14:$J$93,MATCH("*"&amp;$E18&amp;"*",carbon!$A$14:$A$93,0),4), "NA"))</f>
        <v>20.67</v>
      </c>
      <c r="J18" s="66">
        <f>IF($F18 = "bare", 0, IFERROR(INDEX(carbon!$A$14:$J$93,MATCH("*"&amp;$E18&amp;"*",carbon!$A$14:$A$93,0),6), "NA"))</f>
        <v>199.92</v>
      </c>
      <c r="K18" s="66">
        <f>IF($F18 = "bare", 0, IFERROR(INDEX(carbon!$A$14:$J$93,MATCH("*"&amp;$E18&amp;"*",carbon!$A$14:$A$93,0),8), "NA"))</f>
        <v>1.3069999999999999</v>
      </c>
    </row>
    <row r="19" spans="1:11" ht="15.75" x14ac:dyDescent="0.25">
      <c r="A19" s="30" t="s">
        <v>454</v>
      </c>
      <c r="B19" s="30" t="s">
        <v>453</v>
      </c>
      <c r="C19" s="30" t="s">
        <v>517</v>
      </c>
      <c r="D19" t="s">
        <v>232</v>
      </c>
      <c r="E19" t="str">
        <f t="shared" si="0"/>
        <v>NG_13_B</v>
      </c>
      <c r="F19" t="str">
        <f>INDEX(raw!$B$2:$I$100,MATCH(data!D19,raw!$B$2:$B$108, 0), MATCH(data!F$1,raw!$B$1:$I$1, 0))</f>
        <v>seagrass</v>
      </c>
      <c r="G19" s="53">
        <f>IFERROR(INDEX(raw!$J$2:$K$86,MATCH(data!D19,raw!$B$2:$B$100,0),MATCH(data!B19,raw!$J$1:$K$1,0)), "NA")</f>
        <v>1686</v>
      </c>
      <c r="H19" s="66">
        <f>IF($F19 = "bare", 0, IFERROR(INDEX(carbon!$A$14:$J$93,MATCH("*"&amp;$E19&amp;"*",carbon!$A$14:$A$93,0),2), "NA"))</f>
        <v>77.64</v>
      </c>
      <c r="I19" s="66">
        <f>IF($F19 = "bare", 0, IFERROR(INDEX(carbon!$A$14:$J$93,MATCH("*"&amp;$E19&amp;"*",carbon!$A$14:$A$93,0),4), "NA"))</f>
        <v>20.94</v>
      </c>
      <c r="J19" s="66">
        <f>IF($F19 = "bare", 0, IFERROR(INDEX(carbon!$A$14:$J$93,MATCH("*"&amp;$E19&amp;"*",carbon!$A$14:$A$93,0),6), "NA"))</f>
        <v>216.88</v>
      </c>
      <c r="K19" s="66">
        <f>IF($F19 = "bare", 0, IFERROR(INDEX(carbon!$A$14:$J$93,MATCH("*"&amp;$E19&amp;"*",carbon!$A$14:$A$93,0),8), "NA"))</f>
        <v>1.151</v>
      </c>
    </row>
    <row r="20" spans="1:11" ht="15.75" x14ac:dyDescent="0.25">
      <c r="A20" s="30" t="s">
        <v>454</v>
      </c>
      <c r="B20" s="30" t="s">
        <v>455</v>
      </c>
      <c r="C20" s="30" t="s">
        <v>517</v>
      </c>
      <c r="D20" t="s">
        <v>236</v>
      </c>
      <c r="E20" t="str">
        <f t="shared" si="0"/>
        <v>NG_14_A</v>
      </c>
      <c r="F20" t="str">
        <f>INDEX(raw!$B$2:$I$100,MATCH(data!D20,raw!$B$2:$B$108, 0), MATCH(data!F$1,raw!$B$1:$I$1, 0))</f>
        <v>seagrass</v>
      </c>
      <c r="G20" s="53">
        <f>IFERROR(INDEX(raw!$J$2:$K$86,MATCH(data!D20,raw!$B$2:$B$100,0),MATCH(data!B20,raw!$J$1:$K$1,0)), "NA")</f>
        <v>2434</v>
      </c>
      <c r="H20" s="66" t="str">
        <f>IF($F20 = "bare", 0, IFERROR(INDEX(carbon!$A$14:$J$93,MATCH("*"&amp;$E20&amp;"*",carbon!$A$14:$A$93,0),2), "NA"))</f>
        <v>NA</v>
      </c>
      <c r="I20" s="66" t="str">
        <f>IF($F20 = "bare", 0, IFERROR(INDEX(carbon!$A$14:$J$93,MATCH("*"&amp;$E20&amp;"*",carbon!$A$14:$A$93,0),4), "NA"))</f>
        <v>NA</v>
      </c>
      <c r="J20" s="66" t="str">
        <f>IF($F20 = "bare", 0, IFERROR(INDEX(carbon!$A$14:$J$93,MATCH("*"&amp;$E20&amp;"*",carbon!$A$14:$A$93,0),6), "NA"))</f>
        <v>NA</v>
      </c>
      <c r="K20" s="66" t="str">
        <f>IF($F20 = "bare", 0, IFERROR(INDEX(carbon!$A$14:$J$93,MATCH("*"&amp;$E20&amp;"*",carbon!$A$14:$A$93,0),8), "NA"))</f>
        <v>NA</v>
      </c>
    </row>
    <row r="21" spans="1:11" ht="15.75" x14ac:dyDescent="0.25">
      <c r="A21" s="30" t="s">
        <v>454</v>
      </c>
      <c r="B21" s="30" t="s">
        <v>453</v>
      </c>
      <c r="C21" s="30" t="s">
        <v>517</v>
      </c>
      <c r="D21" t="s">
        <v>236</v>
      </c>
      <c r="E21" t="str">
        <f t="shared" si="0"/>
        <v>NG_14_B</v>
      </c>
      <c r="F21" t="str">
        <f>INDEX(raw!$B$2:$I$100,MATCH(data!D21,raw!$B$2:$B$108, 0), MATCH(data!F$1,raw!$B$1:$I$1, 0))</f>
        <v>seagrass</v>
      </c>
      <c r="G21" s="53">
        <f>IFERROR(INDEX(raw!$J$2:$K$86,MATCH(data!D21,raw!$B$2:$B$100,0),MATCH(data!B21,raw!$J$1:$K$1,0)), "NA")</f>
        <v>1076</v>
      </c>
      <c r="H21" s="66" t="str">
        <f>IF($F21 = "bare", 0, IFERROR(INDEX(carbon!$A$14:$J$93,MATCH("*"&amp;$E21&amp;"*",carbon!$A$14:$A$93,0),2), "NA"))</f>
        <v>NA</v>
      </c>
      <c r="I21" s="66" t="str">
        <f>IF($F21 = "bare", 0, IFERROR(INDEX(carbon!$A$14:$J$93,MATCH("*"&amp;$E21&amp;"*",carbon!$A$14:$A$93,0),4), "NA"))</f>
        <v>NA</v>
      </c>
      <c r="J21" s="66" t="str">
        <f>IF($F21 = "bare", 0, IFERROR(INDEX(carbon!$A$14:$J$93,MATCH("*"&amp;$E21&amp;"*",carbon!$A$14:$A$93,0),6), "NA"))</f>
        <v>NA</v>
      </c>
      <c r="K21" s="66" t="str">
        <f>IF($F21 = "bare", 0, IFERROR(INDEX(carbon!$A$14:$J$93,MATCH("*"&amp;$E21&amp;"*",carbon!$A$14:$A$93,0),8), "NA"))</f>
        <v>NA</v>
      </c>
    </row>
    <row r="22" spans="1:11" ht="15.75" x14ac:dyDescent="0.25">
      <c r="A22" s="30" t="s">
        <v>454</v>
      </c>
      <c r="B22" s="30" t="s">
        <v>455</v>
      </c>
      <c r="C22" s="30" t="s">
        <v>517</v>
      </c>
      <c r="D22" t="s">
        <v>238</v>
      </c>
      <c r="E22" t="str">
        <f t="shared" si="0"/>
        <v>NG_15_A</v>
      </c>
      <c r="F22" t="str">
        <f>INDEX(raw!$B$2:$I$100,MATCH(data!D22,raw!$B$2:$B$108, 0), MATCH(data!F$1,raw!$B$1:$I$1, 0))</f>
        <v>seagrass</v>
      </c>
      <c r="G22" s="53">
        <f>IFERROR(INDEX(raw!$J$2:$K$86,MATCH(data!D22,raw!$B$2:$B$100,0),MATCH(data!B22,raw!$J$1:$K$1,0)), "NA")</f>
        <v>1517</v>
      </c>
      <c r="H22" s="66">
        <f>IF($F22 = "bare", 0, IFERROR(INDEX(carbon!$A$14:$J$93,MATCH("*"&amp;$E22&amp;"*",carbon!$A$14:$A$93,0),2), "NA"))</f>
        <v>70.680000000000007</v>
      </c>
      <c r="I22" s="66">
        <f>IF($F22 = "bare", 0, IFERROR(INDEX(carbon!$A$14:$J$93,MATCH("*"&amp;$E22&amp;"*",carbon!$A$14:$A$93,0),4), "NA"))</f>
        <v>21.47</v>
      </c>
      <c r="J22" s="66">
        <f>IF($F22 = "bare", 0, IFERROR(INDEX(carbon!$A$14:$J$93,MATCH("*"&amp;$E22&amp;"*",carbon!$A$14:$A$93,0),6), "NA"))</f>
        <v>233.34</v>
      </c>
      <c r="K22" s="66">
        <f>IF($F22 = "bare", 0, IFERROR(INDEX(carbon!$A$14:$J$93,MATCH("*"&amp;$E22&amp;"*",carbon!$A$14:$A$93,0),8), "NA"))</f>
        <v>1.577</v>
      </c>
    </row>
    <row r="23" spans="1:11" ht="15.75" x14ac:dyDescent="0.25">
      <c r="A23" s="30" t="s">
        <v>454</v>
      </c>
      <c r="B23" s="30" t="s">
        <v>453</v>
      </c>
      <c r="C23" s="30" t="s">
        <v>517</v>
      </c>
      <c r="D23" t="s">
        <v>238</v>
      </c>
      <c r="E23" t="str">
        <f t="shared" si="0"/>
        <v>NG_15_B</v>
      </c>
      <c r="F23" t="str">
        <f>INDEX(raw!$B$2:$I$100,MATCH(data!D23,raw!$B$2:$B$108, 0), MATCH(data!F$1,raw!$B$1:$I$1, 0))</f>
        <v>seagrass</v>
      </c>
      <c r="G23" s="53">
        <f>IFERROR(INDEX(raw!$J$2:$K$86,MATCH(data!D23,raw!$B$2:$B$100,0),MATCH(data!B23,raw!$J$1:$K$1,0)), "NA")</f>
        <v>811</v>
      </c>
      <c r="H23" s="66">
        <f>IF($F23 = "bare", 0, IFERROR(INDEX(carbon!$A$14:$J$93,MATCH("*"&amp;$E23&amp;"*",carbon!$A$14:$A$93,0),2), "NA"))</f>
        <v>72.239999999999995</v>
      </c>
      <c r="I23" s="66">
        <f>IF($F23 = "bare", 0, IFERROR(INDEX(carbon!$A$14:$J$93,MATCH("*"&amp;$E23&amp;"*",carbon!$A$14:$A$93,0),4), "NA"))</f>
        <v>20.89</v>
      </c>
      <c r="J23" s="66">
        <f>IF($F23 = "bare", 0, IFERROR(INDEX(carbon!$A$14:$J$93,MATCH("*"&amp;$E23&amp;"*",carbon!$A$14:$A$93,0),6), "NA"))</f>
        <v>228.67</v>
      </c>
      <c r="K23" s="66">
        <f>IF($F23 = "bare", 0, IFERROR(INDEX(carbon!$A$14:$J$93,MATCH("*"&amp;$E23&amp;"*",carbon!$A$14:$A$93,0),8), "NA"))</f>
        <v>0.82050000000000001</v>
      </c>
    </row>
    <row r="24" spans="1:11" ht="15.75" x14ac:dyDescent="0.25">
      <c r="A24" s="30" t="s">
        <v>454</v>
      </c>
      <c r="B24" s="30" t="s">
        <v>455</v>
      </c>
      <c r="C24" s="30" t="s">
        <v>517</v>
      </c>
      <c r="D24" t="s">
        <v>245</v>
      </c>
      <c r="E24" t="str">
        <f t="shared" si="0"/>
        <v>NG_16_A</v>
      </c>
      <c r="F24" t="str">
        <f>INDEX(raw!$B$2:$I$100,MATCH(data!D24,raw!$B$2:$B$108, 0), MATCH(data!F$1,raw!$B$1:$I$1, 0))</f>
        <v>seagrass</v>
      </c>
      <c r="G24" s="53">
        <f>IFERROR(INDEX(raw!$J$2:$K$86,MATCH(data!D24,raw!$B$2:$B$100,0),MATCH(data!B24,raw!$J$1:$K$1,0)), "NA")</f>
        <v>1040</v>
      </c>
      <c r="H24" s="66">
        <f>IF($F24 = "bare", 0, IFERROR(INDEX(carbon!$A$14:$J$93,MATCH("*"&amp;$E24&amp;"*",carbon!$A$14:$A$93,0),2), "NA"))</f>
        <v>71.760000000000005</v>
      </c>
      <c r="I24" s="66">
        <f>IF($F24 = "bare", 0, IFERROR(INDEX(carbon!$A$14:$J$93,MATCH("*"&amp;$E24&amp;"*",carbon!$A$14:$A$93,0),4), "NA"))</f>
        <v>21.87</v>
      </c>
      <c r="J24" s="66">
        <f>IF($F24 = "bare", 0, IFERROR(INDEX(carbon!$A$14:$J$93,MATCH("*"&amp;$E24&amp;"*",carbon!$A$14:$A$93,0),6), "NA"))</f>
        <v>214.43</v>
      </c>
      <c r="K24" s="66">
        <f>IF($F24 = "bare", 0, IFERROR(INDEX(carbon!$A$14:$J$93,MATCH("*"&amp;$E24&amp;"*",carbon!$A$14:$A$93,0),8), "NA"))</f>
        <v>1.206</v>
      </c>
    </row>
    <row r="25" spans="1:11" ht="15.75" x14ac:dyDescent="0.25">
      <c r="A25" s="30" t="s">
        <v>454</v>
      </c>
      <c r="B25" s="30" t="s">
        <v>453</v>
      </c>
      <c r="C25" s="30" t="s">
        <v>517</v>
      </c>
      <c r="D25" t="s">
        <v>245</v>
      </c>
      <c r="E25" t="str">
        <f t="shared" si="0"/>
        <v>NG_16_B</v>
      </c>
      <c r="F25" t="str">
        <f>INDEX(raw!$B$2:$I$100,MATCH(data!D25,raw!$B$2:$B$108, 0), MATCH(data!F$1,raw!$B$1:$I$1, 0))</f>
        <v>seagrass</v>
      </c>
      <c r="G25" s="53">
        <f>IFERROR(INDEX(raw!$J$2:$K$86,MATCH(data!D25,raw!$B$2:$B$100,0),MATCH(data!B25,raw!$J$1:$K$1,0)), "NA")</f>
        <v>1642</v>
      </c>
      <c r="H25" s="66">
        <f>IF($F25 = "bare", 0, IFERROR(INDEX(carbon!$A$14:$J$93,MATCH("*"&amp;$E25&amp;"*",carbon!$A$14:$A$93,0),2), "NA"))</f>
        <v>70.900000000000006</v>
      </c>
      <c r="I25" s="66">
        <f>IF($F25 = "bare", 0, IFERROR(INDEX(carbon!$A$14:$J$93,MATCH("*"&amp;$E25&amp;"*",carbon!$A$14:$A$93,0),4), "NA"))</f>
        <v>20.03</v>
      </c>
      <c r="J25" s="66">
        <f>IF($F25 = "bare", 0, IFERROR(INDEX(carbon!$A$14:$J$93,MATCH("*"&amp;$E25&amp;"*",carbon!$A$14:$A$93,0),6), "NA"))</f>
        <v>247.39</v>
      </c>
      <c r="K25" s="66">
        <f>IF($F25 = "bare", 0, IFERROR(INDEX(carbon!$A$14:$J$93,MATCH("*"&amp;$E25&amp;"*",carbon!$A$14:$A$93,0),8), "NA"))</f>
        <v>1.2529999999999999</v>
      </c>
    </row>
    <row r="26" spans="1:11" ht="15.75" x14ac:dyDescent="0.25">
      <c r="A26" s="30" t="s">
        <v>454</v>
      </c>
      <c r="B26" s="30" t="s">
        <v>455</v>
      </c>
      <c r="C26" s="30" t="s">
        <v>517</v>
      </c>
      <c r="D26" t="s">
        <v>180</v>
      </c>
      <c r="E26" t="str">
        <f t="shared" si="0"/>
        <v>NG_17_A</v>
      </c>
      <c r="F26" t="str">
        <f>INDEX(raw!$B$2:$I$100,MATCH(data!D26,raw!$B$2:$B$108, 0), MATCH(data!F$1,raw!$B$1:$I$1, 0))</f>
        <v>seagrass</v>
      </c>
      <c r="G26" s="53">
        <f>IFERROR(INDEX(raw!$J$2:$K$86,MATCH(data!D26,raw!$B$2:$B$100,0),MATCH(data!B26,raw!$J$1:$K$1,0)), "NA")</f>
        <v>1103</v>
      </c>
      <c r="H26" s="66" t="str">
        <f>IF($F26 = "bare", 0, IFERROR(INDEX(carbon!$A$14:$J$93,MATCH("*"&amp;$E26&amp;"*",carbon!$A$14:$A$93,0),2), "NA"))</f>
        <v>NA</v>
      </c>
      <c r="I26" s="66" t="str">
        <f>IF($F26 = "bare", 0, IFERROR(INDEX(carbon!$A$14:$J$93,MATCH("*"&amp;$E26&amp;"*",carbon!$A$14:$A$93,0),4), "NA"))</f>
        <v>NA</v>
      </c>
      <c r="J26" s="66" t="str">
        <f>IF($F26 = "bare", 0, IFERROR(INDEX(carbon!$A$14:$J$93,MATCH("*"&amp;$E26&amp;"*",carbon!$A$14:$A$93,0),6), "NA"))</f>
        <v>NA</v>
      </c>
      <c r="K26" s="66" t="str">
        <f>IF($F26 = "bare", 0, IFERROR(INDEX(carbon!$A$14:$J$93,MATCH("*"&amp;$E26&amp;"*",carbon!$A$14:$A$93,0),8), "NA"))</f>
        <v>NA</v>
      </c>
    </row>
    <row r="27" spans="1:11" ht="15.75" x14ac:dyDescent="0.25">
      <c r="A27" s="30" t="s">
        <v>454</v>
      </c>
      <c r="B27" s="30" t="s">
        <v>453</v>
      </c>
      <c r="C27" s="30" t="s">
        <v>517</v>
      </c>
      <c r="D27" t="s">
        <v>180</v>
      </c>
      <c r="E27" t="str">
        <f t="shared" si="0"/>
        <v>NG_17_B</v>
      </c>
      <c r="F27" t="str">
        <f>INDEX(raw!$B$2:$I$100,MATCH(data!D27,raw!$B$2:$B$108, 0), MATCH(data!F$1,raw!$B$1:$I$1, 0))</f>
        <v>seagrass</v>
      </c>
      <c r="G27" s="53">
        <f>IFERROR(INDEX(raw!$J$2:$K$86,MATCH(data!D27,raw!$B$2:$B$100,0),MATCH(data!B27,raw!$J$1:$K$1,0)), "NA")</f>
        <v>813</v>
      </c>
      <c r="H27" s="66" t="str">
        <f>IF($F27 = "bare", 0, IFERROR(INDEX(carbon!$A$14:$J$93,MATCH("*"&amp;$E27&amp;"*",carbon!$A$14:$A$93,0),2), "NA"))</f>
        <v>NA</v>
      </c>
      <c r="I27" s="66" t="str">
        <f>IF($F27 = "bare", 0, IFERROR(INDEX(carbon!$A$14:$J$93,MATCH("*"&amp;$E27&amp;"*",carbon!$A$14:$A$93,0),4), "NA"))</f>
        <v>NA</v>
      </c>
      <c r="J27" s="66" t="str">
        <f>IF($F27 = "bare", 0, IFERROR(INDEX(carbon!$A$14:$J$93,MATCH("*"&amp;$E27&amp;"*",carbon!$A$14:$A$93,0),6), "NA"))</f>
        <v>NA</v>
      </c>
      <c r="K27" s="66" t="str">
        <f>IF($F27 = "bare", 0, IFERROR(INDEX(carbon!$A$14:$J$93,MATCH("*"&amp;$E27&amp;"*",carbon!$A$14:$A$93,0),8), "NA"))</f>
        <v>NA</v>
      </c>
    </row>
    <row r="28" spans="1:11" ht="15.75" x14ac:dyDescent="0.25">
      <c r="A28" s="30" t="s">
        <v>454</v>
      </c>
      <c r="B28" s="30" t="s">
        <v>455</v>
      </c>
      <c r="C28" s="30" t="s">
        <v>517</v>
      </c>
      <c r="D28" t="s">
        <v>208</v>
      </c>
      <c r="E28" t="str">
        <f t="shared" si="0"/>
        <v>NG_18_A</v>
      </c>
      <c r="F28" t="str">
        <f>INDEX(raw!$B$2:$I$100,MATCH(data!D28,raw!$B$2:$B$108, 0), MATCH(data!F$1,raw!$B$1:$I$1, 0))</f>
        <v>seagrass</v>
      </c>
      <c r="G28" s="53">
        <f>IFERROR(INDEX(raw!$J$2:$K$86,MATCH(data!D28,raw!$B$2:$B$100,0),MATCH(data!B28,raw!$J$1:$K$1,0)), "NA")</f>
        <v>1378</v>
      </c>
      <c r="H28" s="66">
        <f>IF($F28 = "bare", 0, IFERROR(INDEX(carbon!$A$14:$J$93,MATCH("*"&amp;$E28&amp;"*",carbon!$A$14:$A$93,0),2), "NA"))</f>
        <v>72.83</v>
      </c>
      <c r="I28" s="66">
        <f>IF($F28 = "bare", 0, IFERROR(INDEX(carbon!$A$14:$J$93,MATCH("*"&amp;$E28&amp;"*",carbon!$A$14:$A$93,0),4), "NA"))</f>
        <v>22.67</v>
      </c>
      <c r="J28" s="66">
        <f>IF($F28 = "bare", 0, IFERROR(INDEX(carbon!$A$14:$J$93,MATCH("*"&amp;$E28&amp;"*",carbon!$A$14:$A$93,0),6), "NA"))</f>
        <v>204.77</v>
      </c>
      <c r="K28" s="66">
        <f>IF($F28 = "bare", 0, IFERROR(INDEX(carbon!$A$14:$J$93,MATCH("*"&amp;$E28&amp;"*",carbon!$A$14:$A$93,0),8), "NA"))</f>
        <v>1.03</v>
      </c>
    </row>
    <row r="29" spans="1:11" ht="15.75" x14ac:dyDescent="0.25">
      <c r="A29" s="30" t="s">
        <v>454</v>
      </c>
      <c r="B29" s="30" t="s">
        <v>453</v>
      </c>
      <c r="C29" s="30" t="s">
        <v>517</v>
      </c>
      <c r="D29" t="s">
        <v>208</v>
      </c>
      <c r="E29" t="str">
        <f t="shared" si="0"/>
        <v>NG_18_B</v>
      </c>
      <c r="F29" t="str">
        <f>INDEX(raw!$B$2:$I$100,MATCH(data!D29,raw!$B$2:$B$108, 0), MATCH(data!F$1,raw!$B$1:$I$1, 0))</f>
        <v>seagrass</v>
      </c>
      <c r="G29" s="53">
        <f>IFERROR(INDEX(raw!$J$2:$K$86,MATCH(data!D29,raw!$B$2:$B$100,0),MATCH(data!B29,raw!$J$1:$K$1,0)), "NA")</f>
        <v>929</v>
      </c>
      <c r="H29" s="66">
        <f>IF($F29 = "bare", 0, IFERROR(INDEX(carbon!$A$14:$J$93,MATCH("*"&amp;$E29&amp;"*",carbon!$A$14:$A$93,0),2), "NA"))</f>
        <v>72.86</v>
      </c>
      <c r="I29" s="66">
        <f>IF($F29 = "bare", 0, IFERROR(INDEX(carbon!$A$14:$J$93,MATCH("*"&amp;$E29&amp;"*",carbon!$A$14:$A$93,0),4), "NA"))</f>
        <v>30.09</v>
      </c>
      <c r="J29" s="66">
        <f>IF($F29 = "bare", 0, IFERROR(INDEX(carbon!$A$14:$J$93,MATCH("*"&amp;$E29&amp;"*",carbon!$A$14:$A$93,0),6), "NA"))</f>
        <v>209.51</v>
      </c>
      <c r="K29" s="66">
        <f>IF($F29 = "bare", 0, IFERROR(INDEX(carbon!$A$14:$J$93,MATCH("*"&amp;$E29&amp;"*",carbon!$A$14:$A$93,0),8), "NA"))</f>
        <v>1.1819999999999999</v>
      </c>
    </row>
    <row r="30" spans="1:11" ht="15.75" x14ac:dyDescent="0.25">
      <c r="A30" s="30" t="s">
        <v>454</v>
      </c>
      <c r="B30" s="30" t="s">
        <v>455</v>
      </c>
      <c r="C30" s="30" t="s">
        <v>517</v>
      </c>
      <c r="D30" t="s">
        <v>201</v>
      </c>
      <c r="E30" t="str">
        <f t="shared" si="0"/>
        <v>NG_19_A</v>
      </c>
      <c r="F30" t="str">
        <f>INDEX(raw!$B$2:$I$100,MATCH(data!D30,raw!$B$2:$B$108, 0), MATCH(data!F$1,raw!$B$1:$I$1, 0))</f>
        <v>seagrass</v>
      </c>
      <c r="G30" s="53">
        <f>IFERROR(INDEX(raw!$J$2:$K$86,MATCH(data!D30,raw!$B$2:$B$100,0),MATCH(data!B30,raw!$J$1:$K$1,0)), "NA")</f>
        <v>3531</v>
      </c>
      <c r="H30" s="66">
        <f>IF($F30 = "bare", 0, IFERROR(INDEX(carbon!$A$14:$J$93,MATCH("*"&amp;$E30&amp;"*",carbon!$A$14:$A$93,0),2), "NA"))</f>
        <v>70.86</v>
      </c>
      <c r="I30" s="66">
        <f>IF($F30 = "bare", 0, IFERROR(INDEX(carbon!$A$14:$J$93,MATCH("*"&amp;$E30&amp;"*",carbon!$A$14:$A$93,0),4), "NA"))</f>
        <v>19.559999999999999</v>
      </c>
      <c r="J30" s="66">
        <f>IF($F30 = "bare", 0, IFERROR(INDEX(carbon!$A$14:$J$93,MATCH("*"&amp;$E30&amp;"*",carbon!$A$14:$A$93,0),6), "NA"))</f>
        <v>211.49</v>
      </c>
      <c r="K30" s="66">
        <f>IF($F30 = "bare", 0, IFERROR(INDEX(carbon!$A$14:$J$93,MATCH("*"&amp;$E30&amp;"*",carbon!$A$14:$A$93,0),8), "NA"))</f>
        <v>1.1819999999999999</v>
      </c>
    </row>
    <row r="31" spans="1:11" ht="15.75" x14ac:dyDescent="0.25">
      <c r="A31" s="30" t="s">
        <v>454</v>
      </c>
      <c r="B31" s="30" t="s">
        <v>453</v>
      </c>
      <c r="C31" s="30" t="s">
        <v>517</v>
      </c>
      <c r="D31" t="s">
        <v>201</v>
      </c>
      <c r="E31" t="str">
        <f t="shared" si="0"/>
        <v>NG_19_B</v>
      </c>
      <c r="F31" t="str">
        <f>INDEX(raw!$B$2:$I$100,MATCH(data!D31,raw!$B$2:$B$108, 0), MATCH(data!F$1,raw!$B$1:$I$1, 0))</f>
        <v>seagrass</v>
      </c>
      <c r="G31" s="53">
        <f>IFERROR(INDEX(raw!$J$2:$K$86,MATCH(data!D31,raw!$B$2:$B$100,0),MATCH(data!B31,raw!$J$1:$K$1,0)), "NA")</f>
        <v>2364</v>
      </c>
      <c r="H31" s="66">
        <f>IF($F31 = "bare", 0, IFERROR(INDEX(carbon!$A$14:$J$93,MATCH("*"&amp;$E31&amp;"*",carbon!$A$14:$A$93,0),2), "NA"))</f>
        <v>77.36</v>
      </c>
      <c r="I31" s="66">
        <f>IF($F31 = "bare", 0, IFERROR(INDEX(carbon!$A$14:$J$93,MATCH("*"&amp;$E31&amp;"*",carbon!$A$14:$A$93,0),4), "NA"))</f>
        <v>20.83</v>
      </c>
      <c r="J31" s="66">
        <f>IF($F31 = "bare", 0, IFERROR(INDEX(carbon!$A$14:$J$93,MATCH("*"&amp;$E31&amp;"*",carbon!$A$14:$A$93,0),6), "NA"))</f>
        <v>219.9</v>
      </c>
      <c r="K31" s="66">
        <f>IF($F31 = "bare", 0, IFERROR(INDEX(carbon!$A$14:$J$93,MATCH("*"&amp;$E31&amp;"*",carbon!$A$14:$A$93,0),8), "NA"))</f>
        <v>1.2549999999999999</v>
      </c>
    </row>
    <row r="32" spans="1:11" ht="15.75" x14ac:dyDescent="0.25">
      <c r="A32" s="30" t="s">
        <v>454</v>
      </c>
      <c r="B32" s="30" t="s">
        <v>455</v>
      </c>
      <c r="C32" s="30" t="s">
        <v>517</v>
      </c>
      <c r="D32" t="s">
        <v>198</v>
      </c>
      <c r="E32" t="str">
        <f t="shared" si="0"/>
        <v>NG_20_A</v>
      </c>
      <c r="F32" t="str">
        <f>INDEX(raw!$B$2:$I$100,MATCH(data!D32,raw!$B$2:$B$108, 0), MATCH(data!F$1,raw!$B$1:$I$1, 0))</f>
        <v>seagrass</v>
      </c>
      <c r="G32" s="53">
        <f>IFERROR(INDEX(raw!$J$2:$K$86,MATCH(data!D32,raw!$B$2:$B$100,0),MATCH(data!B32,raw!$J$1:$K$1,0)), "NA")</f>
        <v>3975.8</v>
      </c>
      <c r="H32" s="66">
        <f>IF($F32 = "bare", 0, IFERROR(INDEX(carbon!$A$14:$J$93,MATCH("*"&amp;$E32&amp;"*",carbon!$A$14:$A$93,0),2), "NA"))</f>
        <v>71.849999999999994</v>
      </c>
      <c r="I32" s="66">
        <f>IF($F32 = "bare", 0, IFERROR(INDEX(carbon!$A$14:$J$93,MATCH("*"&amp;$E32&amp;"*",carbon!$A$14:$A$93,0),4), "NA"))</f>
        <v>19.86</v>
      </c>
      <c r="J32" s="66">
        <f>IF($F32 = "bare", 0, IFERROR(INDEX(carbon!$A$14:$J$93,MATCH("*"&amp;$E32&amp;"*",carbon!$A$14:$A$93,0),6), "NA"))</f>
        <v>217.72</v>
      </c>
      <c r="K32" s="66">
        <f>IF($F32 = "bare", 0, IFERROR(INDEX(carbon!$A$14:$J$93,MATCH("*"&amp;$E32&amp;"*",carbon!$A$14:$A$93,0),8), "NA"))</f>
        <v>2.1139999999999999</v>
      </c>
    </row>
    <row r="33" spans="1:11" ht="15.75" x14ac:dyDescent="0.25">
      <c r="A33" s="30" t="s">
        <v>454</v>
      </c>
      <c r="B33" s="30" t="s">
        <v>453</v>
      </c>
      <c r="C33" s="30" t="s">
        <v>517</v>
      </c>
      <c r="D33" t="s">
        <v>198</v>
      </c>
      <c r="E33" t="str">
        <f t="shared" si="0"/>
        <v>NG_20_B</v>
      </c>
      <c r="F33" t="str">
        <f>INDEX(raw!$B$2:$I$100,MATCH(data!D33,raw!$B$2:$B$108, 0), MATCH(data!F$1,raw!$B$1:$I$1, 0))</f>
        <v>seagrass</v>
      </c>
      <c r="G33" s="53">
        <f>IFERROR(INDEX(raw!$J$2:$K$86,MATCH(data!D33,raw!$B$2:$B$100,0),MATCH(data!B33,raw!$J$1:$K$1,0)), "NA")</f>
        <v>2080</v>
      </c>
      <c r="H33" s="66">
        <f>IF($F33 = "bare", 0, IFERROR(INDEX(carbon!$A$14:$J$93,MATCH("*"&amp;$E33&amp;"*",carbon!$A$14:$A$93,0),2), "NA"))</f>
        <v>72.73</v>
      </c>
      <c r="I33" s="66">
        <f>IF($F33 = "bare", 0, IFERROR(INDEX(carbon!$A$14:$J$93,MATCH("*"&amp;$E33&amp;"*",carbon!$A$14:$A$93,0),4), "NA"))</f>
        <v>19.579999999999998</v>
      </c>
      <c r="J33" s="66">
        <f>IF($F33 = "bare", 0, IFERROR(INDEX(carbon!$A$14:$J$93,MATCH("*"&amp;$E33&amp;"*",carbon!$A$14:$A$93,0),6), "NA"))</f>
        <v>220.57</v>
      </c>
      <c r="K33" s="66">
        <f>IF($F33 = "bare", 0, IFERROR(INDEX(carbon!$A$14:$J$93,MATCH("*"&amp;$E33&amp;"*",carbon!$A$14:$A$93,0),8), "NA"))</f>
        <v>1.1759999999999999</v>
      </c>
    </row>
    <row r="34" spans="1:11" ht="15.75" x14ac:dyDescent="0.25">
      <c r="A34" s="30" t="s">
        <v>454</v>
      </c>
      <c r="B34" s="30" t="s">
        <v>455</v>
      </c>
      <c r="C34" s="30" t="s">
        <v>517</v>
      </c>
      <c r="D34" t="s">
        <v>177</v>
      </c>
      <c r="E34" t="str">
        <f t="shared" ref="E34:E65" si="1">CONCATENATE(SUBSTITUTE(D34, " ", "_"), "_", IF(B34 = "Leaves", "A", IF(B34 = "Roots", "B", NA)))</f>
        <v>NG_21_A</v>
      </c>
      <c r="F34" t="str">
        <f>INDEX(raw!$B$2:$I$100,MATCH(data!D34,raw!$B$2:$B$108, 0), MATCH(data!F$1,raw!$B$1:$I$1, 0))</f>
        <v>seagrass</v>
      </c>
      <c r="G34" s="53">
        <f>IFERROR(INDEX(raw!$J$2:$K$86,MATCH(data!D34,raw!$B$2:$B$100,0),MATCH(data!B34,raw!$J$1:$K$1,0)), "NA")</f>
        <v>857</v>
      </c>
      <c r="H34" s="66" t="str">
        <f>IF($F34 = "bare", 0, IFERROR(INDEX(carbon!$A$14:$J$93,MATCH("*"&amp;$E34&amp;"*",carbon!$A$14:$A$93,0),2), "NA"))</f>
        <v>NA</v>
      </c>
      <c r="I34" s="66" t="str">
        <f>IF($F34 = "bare", 0, IFERROR(INDEX(carbon!$A$14:$J$93,MATCH("*"&amp;$E34&amp;"*",carbon!$A$14:$A$93,0),4), "NA"))</f>
        <v>NA</v>
      </c>
      <c r="J34" s="66" t="str">
        <f>IF($F34 = "bare", 0, IFERROR(INDEX(carbon!$A$14:$J$93,MATCH("*"&amp;$E34&amp;"*",carbon!$A$14:$A$93,0),6), "NA"))</f>
        <v>NA</v>
      </c>
      <c r="K34" s="66" t="str">
        <f>IF($F34 = "bare", 0, IFERROR(INDEX(carbon!$A$14:$J$93,MATCH("*"&amp;$E34&amp;"*",carbon!$A$14:$A$93,0),8), "NA"))</f>
        <v>NA</v>
      </c>
    </row>
    <row r="35" spans="1:11" ht="15.75" x14ac:dyDescent="0.25">
      <c r="A35" s="30" t="s">
        <v>454</v>
      </c>
      <c r="B35" s="30" t="s">
        <v>453</v>
      </c>
      <c r="C35" s="30" t="s">
        <v>517</v>
      </c>
      <c r="D35" t="s">
        <v>177</v>
      </c>
      <c r="E35" t="str">
        <f t="shared" si="1"/>
        <v>NG_21_B</v>
      </c>
      <c r="F35" t="str">
        <f>INDEX(raw!$B$2:$I$100,MATCH(data!D35,raw!$B$2:$B$108, 0), MATCH(data!F$1,raw!$B$1:$I$1, 0))</f>
        <v>seagrass</v>
      </c>
      <c r="G35" s="53">
        <f>IFERROR(INDEX(raw!$J$2:$K$86,MATCH(data!D35,raw!$B$2:$B$100,0),MATCH(data!B35,raw!$J$1:$K$1,0)), "NA")</f>
        <v>705</v>
      </c>
      <c r="H35" s="66" t="str">
        <f>IF($F35 = "bare", 0, IFERROR(INDEX(carbon!$A$14:$J$93,MATCH("*"&amp;$E35&amp;"*",carbon!$A$14:$A$93,0),2), "NA"))</f>
        <v>NA</v>
      </c>
      <c r="I35" s="66" t="str">
        <f>IF($F35 = "bare", 0, IFERROR(INDEX(carbon!$A$14:$J$93,MATCH("*"&amp;$E35&amp;"*",carbon!$A$14:$A$93,0),4), "NA"))</f>
        <v>NA</v>
      </c>
      <c r="J35" s="66" t="str">
        <f>IF($F35 = "bare", 0, IFERROR(INDEX(carbon!$A$14:$J$93,MATCH("*"&amp;$E35&amp;"*",carbon!$A$14:$A$93,0),6), "NA"))</f>
        <v>NA</v>
      </c>
      <c r="K35" s="66" t="str">
        <f>IF($F35 = "bare", 0, IFERROR(INDEX(carbon!$A$14:$J$93,MATCH("*"&amp;$E35&amp;"*",carbon!$A$14:$A$93,0),8), "NA"))</f>
        <v>NA</v>
      </c>
    </row>
    <row r="36" spans="1:11" ht="15.75" x14ac:dyDescent="0.25">
      <c r="A36" s="30" t="s">
        <v>454</v>
      </c>
      <c r="B36" s="30" t="s">
        <v>455</v>
      </c>
      <c r="C36" s="30" t="s">
        <v>517</v>
      </c>
      <c r="D36" t="s">
        <v>184</v>
      </c>
      <c r="E36" t="str">
        <f t="shared" si="1"/>
        <v>NG_22_A</v>
      </c>
      <c r="F36" t="str">
        <f>INDEX(raw!$B$2:$I$100,MATCH(data!D36,raw!$B$2:$B$108, 0), MATCH(data!F$1,raw!$B$1:$I$1, 0))</f>
        <v>seagrass</v>
      </c>
      <c r="G36" s="53">
        <f>IFERROR(INDEX(raw!$J$2:$K$86,MATCH(data!D36,raw!$B$2:$B$100,0),MATCH(data!B36,raw!$J$1:$K$1,0)), "NA")</f>
        <v>992</v>
      </c>
      <c r="H36" s="66">
        <f>IF($F36 = "bare", 0, IFERROR(INDEX(carbon!$A$14:$J$93,MATCH("*"&amp;$E36&amp;"*",carbon!$A$14:$A$93,0),2), "NA"))</f>
        <v>70.849999999999994</v>
      </c>
      <c r="I36" s="66">
        <f>IF($F36 = "bare", 0, IFERROR(INDEX(carbon!$A$14:$J$93,MATCH("*"&amp;$E36&amp;"*",carbon!$A$14:$A$93,0),4), "NA"))</f>
        <v>19.239999999999998</v>
      </c>
      <c r="J36" s="66">
        <f>IF($F36 = "bare", 0, IFERROR(INDEX(carbon!$A$14:$J$93,MATCH("*"&amp;$E36&amp;"*",carbon!$A$14:$A$93,0),6), "NA"))</f>
        <v>205.08</v>
      </c>
      <c r="K36" s="66">
        <f>IF($F36 = "bare", 0, IFERROR(INDEX(carbon!$A$14:$J$93,MATCH("*"&amp;$E36&amp;"*",carbon!$A$14:$A$93,0),8), "NA"))</f>
        <v>0.92620000000000002</v>
      </c>
    </row>
    <row r="37" spans="1:11" ht="15.75" x14ac:dyDescent="0.25">
      <c r="A37" s="30" t="s">
        <v>454</v>
      </c>
      <c r="B37" s="30" t="s">
        <v>453</v>
      </c>
      <c r="C37" s="30" t="s">
        <v>517</v>
      </c>
      <c r="D37" t="s">
        <v>184</v>
      </c>
      <c r="E37" t="str">
        <f t="shared" si="1"/>
        <v>NG_22_B</v>
      </c>
      <c r="F37" t="str">
        <f>INDEX(raw!$B$2:$I$100,MATCH(data!D37,raw!$B$2:$B$108, 0), MATCH(data!F$1,raw!$B$1:$I$1, 0))</f>
        <v>seagrass</v>
      </c>
      <c r="G37" s="53">
        <f>IFERROR(INDEX(raw!$J$2:$K$86,MATCH(data!D37,raw!$B$2:$B$100,0),MATCH(data!B37,raw!$J$1:$K$1,0)), "NA")</f>
        <v>377</v>
      </c>
      <c r="H37" s="66">
        <f>IF($F37 = "bare", 0, IFERROR(INDEX(carbon!$A$14:$J$93,MATCH("*"&amp;$E37&amp;"*",carbon!$A$14:$A$93,0),2), "NA"))</f>
        <v>71.72</v>
      </c>
      <c r="I37" s="66">
        <f>IF($F37 = "bare", 0, IFERROR(INDEX(carbon!$A$14:$J$93,MATCH("*"&amp;$E37&amp;"*",carbon!$A$14:$A$93,0),4), "NA"))</f>
        <v>20.43</v>
      </c>
      <c r="J37" s="66">
        <f>IF($F37 = "bare", 0, IFERROR(INDEX(carbon!$A$14:$J$93,MATCH("*"&amp;$E37&amp;"*",carbon!$A$14:$A$93,0),6), "NA"))</f>
        <v>227.49</v>
      </c>
      <c r="K37" s="66">
        <f>IF($F37 = "bare", 0, IFERROR(INDEX(carbon!$A$14:$J$93,MATCH("*"&amp;$E37&amp;"*",carbon!$A$14:$A$93,0),8), "NA"))</f>
        <v>1.4910000000000001</v>
      </c>
    </row>
    <row r="38" spans="1:11" ht="15.75" x14ac:dyDescent="0.25">
      <c r="A38" s="30" t="s">
        <v>454</v>
      </c>
      <c r="B38" s="30" t="s">
        <v>455</v>
      </c>
      <c r="C38" s="30" t="s">
        <v>517</v>
      </c>
      <c r="D38" t="s">
        <v>188</v>
      </c>
      <c r="E38" t="str">
        <f t="shared" si="1"/>
        <v>NG_23_A</v>
      </c>
      <c r="F38" t="str">
        <f>INDEX(raw!$B$2:$I$100,MATCH(data!D38,raw!$B$2:$B$108, 0), MATCH(data!F$1,raw!$B$1:$I$1, 0))</f>
        <v>seagrass</v>
      </c>
      <c r="G38" s="53">
        <f>IFERROR(INDEX(raw!$J$2:$K$86,MATCH(data!D38,raw!$B$2:$B$100,0),MATCH(data!B38,raw!$J$1:$K$1,0)), "NA")</f>
        <v>1483</v>
      </c>
      <c r="H38" s="66" t="str">
        <f>IF($F38 = "bare", 0, IFERROR(INDEX(carbon!$A$14:$J$93,MATCH("*"&amp;$E38&amp;"*",carbon!$A$14:$A$93,0),2), "NA"))</f>
        <v>NA</v>
      </c>
      <c r="I38" s="66" t="str">
        <f>IF($F38 = "bare", 0, IFERROR(INDEX(carbon!$A$14:$J$93,MATCH("*"&amp;$E38&amp;"*",carbon!$A$14:$A$93,0),4), "NA"))</f>
        <v>NA</v>
      </c>
      <c r="J38" s="66" t="str">
        <f>IF($F38 = "bare", 0, IFERROR(INDEX(carbon!$A$14:$J$93,MATCH("*"&amp;$E38&amp;"*",carbon!$A$14:$A$93,0),6), "NA"))</f>
        <v>NA</v>
      </c>
      <c r="K38" s="66" t="str">
        <f>IF($F38 = "bare", 0, IFERROR(INDEX(carbon!$A$14:$J$93,MATCH("*"&amp;$E38&amp;"*",carbon!$A$14:$A$93,0),8), "NA"))</f>
        <v>NA</v>
      </c>
    </row>
    <row r="39" spans="1:11" ht="15.75" x14ac:dyDescent="0.25">
      <c r="A39" s="30" t="s">
        <v>454</v>
      </c>
      <c r="B39" s="30" t="s">
        <v>453</v>
      </c>
      <c r="C39" s="30" t="s">
        <v>517</v>
      </c>
      <c r="D39" t="s">
        <v>188</v>
      </c>
      <c r="E39" t="str">
        <f t="shared" si="1"/>
        <v>NG_23_B</v>
      </c>
      <c r="F39" t="str">
        <f>INDEX(raw!$B$2:$I$100,MATCH(data!D39,raw!$B$2:$B$108, 0), MATCH(data!F$1,raw!$B$1:$I$1, 0))</f>
        <v>seagrass</v>
      </c>
      <c r="G39" s="53">
        <f>IFERROR(INDEX(raw!$J$2:$K$86,MATCH(data!D39,raw!$B$2:$B$100,0),MATCH(data!B39,raw!$J$1:$K$1,0)), "NA")</f>
        <v>770</v>
      </c>
      <c r="H39" s="66" t="str">
        <f>IF($F39 = "bare", 0, IFERROR(INDEX(carbon!$A$14:$J$93,MATCH("*"&amp;$E39&amp;"*",carbon!$A$14:$A$93,0),2), "NA"))</f>
        <v>NA</v>
      </c>
      <c r="I39" s="66" t="str">
        <f>IF($F39 = "bare", 0, IFERROR(INDEX(carbon!$A$14:$J$93,MATCH("*"&amp;$E39&amp;"*",carbon!$A$14:$A$93,0),4), "NA"))</f>
        <v>NA</v>
      </c>
      <c r="J39" s="66" t="str">
        <f>IF($F39 = "bare", 0, IFERROR(INDEX(carbon!$A$14:$J$93,MATCH("*"&amp;$E39&amp;"*",carbon!$A$14:$A$93,0),6), "NA"))</f>
        <v>NA</v>
      </c>
      <c r="K39" s="66" t="str">
        <f>IF($F39 = "bare", 0, IFERROR(INDEX(carbon!$A$14:$J$93,MATCH("*"&amp;$E39&amp;"*",carbon!$A$14:$A$93,0),8), "NA"))</f>
        <v>NA</v>
      </c>
    </row>
    <row r="40" spans="1:11" ht="15.75" x14ac:dyDescent="0.25">
      <c r="A40" s="30" t="s">
        <v>454</v>
      </c>
      <c r="B40" s="30" t="s">
        <v>455</v>
      </c>
      <c r="C40" s="30" t="s">
        <v>517</v>
      </c>
      <c r="D40" t="s">
        <v>192</v>
      </c>
      <c r="E40" t="str">
        <f t="shared" si="1"/>
        <v>NG_24_A</v>
      </c>
      <c r="F40" t="str">
        <f>INDEX(raw!$B$2:$I$100,MATCH(data!D40,raw!$B$2:$B$108, 0), MATCH(data!F$1,raw!$B$1:$I$1, 0))</f>
        <v>seagrass</v>
      </c>
      <c r="G40" s="53">
        <f>IFERROR(INDEX(raw!$J$2:$K$86,MATCH(data!D40,raw!$B$2:$B$100,0),MATCH(data!B40,raw!$J$1:$K$1,0)), "NA")</f>
        <v>1876</v>
      </c>
      <c r="H40" s="66" t="str">
        <f>IF($F40 = "bare", 0, IFERROR(INDEX(carbon!$A$14:$J$93,MATCH("*"&amp;$E40&amp;"*",carbon!$A$14:$A$93,0),2), "NA"))</f>
        <v>NA</v>
      </c>
      <c r="I40" s="66" t="str">
        <f>IF($F40 = "bare", 0, IFERROR(INDEX(carbon!$A$14:$J$93,MATCH("*"&amp;$E40&amp;"*",carbon!$A$14:$A$93,0),4), "NA"))</f>
        <v>NA</v>
      </c>
      <c r="J40" s="66" t="str">
        <f>IF($F40 = "bare", 0, IFERROR(INDEX(carbon!$A$14:$J$93,MATCH("*"&amp;$E40&amp;"*",carbon!$A$14:$A$93,0),6), "NA"))</f>
        <v>NA</v>
      </c>
      <c r="K40" s="66" t="str">
        <f>IF($F40 = "bare", 0, IFERROR(INDEX(carbon!$A$14:$J$93,MATCH("*"&amp;$E40&amp;"*",carbon!$A$14:$A$93,0),8), "NA"))</f>
        <v>NA</v>
      </c>
    </row>
    <row r="41" spans="1:11" ht="15.75" x14ac:dyDescent="0.25">
      <c r="A41" s="30" t="s">
        <v>454</v>
      </c>
      <c r="B41" s="30" t="s">
        <v>453</v>
      </c>
      <c r="C41" s="30" t="s">
        <v>517</v>
      </c>
      <c r="D41" t="s">
        <v>192</v>
      </c>
      <c r="E41" t="str">
        <f t="shared" si="1"/>
        <v>NG_24_B</v>
      </c>
      <c r="F41" t="str">
        <f>INDEX(raw!$B$2:$I$100,MATCH(data!D41,raw!$B$2:$B$108, 0), MATCH(data!F$1,raw!$B$1:$I$1, 0))</f>
        <v>seagrass</v>
      </c>
      <c r="G41" s="53">
        <f>IFERROR(INDEX(raw!$J$2:$K$86,MATCH(data!D41,raw!$B$2:$B$100,0),MATCH(data!B41,raw!$J$1:$K$1,0)), "NA")</f>
        <v>608</v>
      </c>
      <c r="H41" s="66" t="str">
        <f>IF($F41 = "bare", 0, IFERROR(INDEX(carbon!$A$14:$J$93,MATCH("*"&amp;$E41&amp;"*",carbon!$A$14:$A$93,0),2), "NA"))</f>
        <v>NA</v>
      </c>
      <c r="I41" s="66" t="str">
        <f>IF($F41 = "bare", 0, IFERROR(INDEX(carbon!$A$14:$J$93,MATCH("*"&amp;$E41&amp;"*",carbon!$A$14:$A$93,0),4), "NA"))</f>
        <v>NA</v>
      </c>
      <c r="J41" s="66" t="str">
        <f>IF($F41 = "bare", 0, IFERROR(INDEX(carbon!$A$14:$J$93,MATCH("*"&amp;$E41&amp;"*",carbon!$A$14:$A$93,0),6), "NA"))</f>
        <v>NA</v>
      </c>
      <c r="K41" s="66" t="str">
        <f>IF($F41 = "bare", 0, IFERROR(INDEX(carbon!$A$14:$J$93,MATCH("*"&amp;$E41&amp;"*",carbon!$A$14:$A$93,0),8), "NA"))</f>
        <v>NA</v>
      </c>
    </row>
    <row r="42" spans="1:11" ht="15.75" x14ac:dyDescent="0.25">
      <c r="A42" s="30" t="s">
        <v>454</v>
      </c>
      <c r="B42" s="30" t="s">
        <v>455</v>
      </c>
      <c r="C42" s="30" t="s">
        <v>517</v>
      </c>
      <c r="D42" t="s">
        <v>212</v>
      </c>
      <c r="E42" t="str">
        <f t="shared" si="1"/>
        <v>NG_25_A</v>
      </c>
      <c r="F42" t="str">
        <f>INDEX(raw!$B$2:$I$100,MATCH(data!D42,raw!$B$2:$B$108, 0), MATCH(data!F$1,raw!$B$1:$I$1, 0))</f>
        <v>seagrass</v>
      </c>
      <c r="G42" s="53">
        <f>IFERROR(INDEX(raw!$J$2:$K$86,MATCH(data!D42,raw!$B$2:$B$100,0),MATCH(data!B42,raw!$J$1:$K$1,0)), "NA")</f>
        <v>754</v>
      </c>
      <c r="H42" s="66">
        <f>IF($F42 = "bare", 0, IFERROR(INDEX(carbon!$A$14:$J$93,MATCH("*"&amp;$E42&amp;"*",carbon!$A$14:$A$93,0),2), "NA"))</f>
        <v>73.849999999999994</v>
      </c>
      <c r="I42" s="66">
        <f>IF($F42 = "bare", 0, IFERROR(INDEX(carbon!$A$14:$J$93,MATCH("*"&amp;$E42&amp;"*",carbon!$A$14:$A$93,0),4), "NA"))</f>
        <v>21.15</v>
      </c>
      <c r="J42" s="66">
        <f>IF($F42 = "bare", 0, IFERROR(INDEX(carbon!$A$14:$J$93,MATCH("*"&amp;$E42&amp;"*",carbon!$A$14:$A$93,0),6), "NA"))</f>
        <v>232.37</v>
      </c>
      <c r="K42" s="66">
        <f>IF($F42 = "bare", 0, IFERROR(INDEX(carbon!$A$14:$J$93,MATCH("*"&amp;$E42&amp;"*",carbon!$A$14:$A$93,0),8), "NA"))</f>
        <v>1.306</v>
      </c>
    </row>
    <row r="43" spans="1:11" ht="15.75" x14ac:dyDescent="0.25">
      <c r="A43" s="30" t="s">
        <v>454</v>
      </c>
      <c r="B43" s="30" t="s">
        <v>453</v>
      </c>
      <c r="C43" s="30" t="s">
        <v>517</v>
      </c>
      <c r="D43" t="s">
        <v>212</v>
      </c>
      <c r="E43" t="str">
        <f t="shared" si="1"/>
        <v>NG_25_B</v>
      </c>
      <c r="F43" t="str">
        <f>INDEX(raw!$B$2:$I$100,MATCH(data!D43,raw!$B$2:$B$108, 0), MATCH(data!F$1,raw!$B$1:$I$1, 0))</f>
        <v>seagrass</v>
      </c>
      <c r="G43" s="53">
        <f>IFERROR(INDEX(raw!$J$2:$K$86,MATCH(data!D43,raw!$B$2:$B$100,0),MATCH(data!B43,raw!$J$1:$K$1,0)), "NA")</f>
        <v>582</v>
      </c>
      <c r="H43" s="66">
        <f>IF($F43 = "bare", 0, IFERROR(INDEX(carbon!$A$14:$J$93,MATCH("*"&amp;$E43&amp;"*",carbon!$A$14:$A$93,0),2), "NA"))</f>
        <v>74.63</v>
      </c>
      <c r="I43" s="66">
        <f>IF($F43 = "bare", 0, IFERROR(INDEX(carbon!$A$14:$J$93,MATCH("*"&amp;$E43&amp;"*",carbon!$A$14:$A$93,0),4), "NA"))</f>
        <v>21.16</v>
      </c>
      <c r="J43" s="66">
        <f>IF($F43 = "bare", 0, IFERROR(INDEX(carbon!$A$14:$J$93,MATCH("*"&amp;$E43&amp;"*",carbon!$A$14:$A$93,0),6), "NA"))</f>
        <v>209.72</v>
      </c>
      <c r="K43" s="66">
        <f>IF($F43 = "bare", 0, IFERROR(INDEX(carbon!$A$14:$J$93,MATCH("*"&amp;$E43&amp;"*",carbon!$A$14:$A$93,0),8), "NA"))</f>
        <v>1.3520000000000001</v>
      </c>
    </row>
    <row r="44" spans="1:11" ht="15.75" x14ac:dyDescent="0.25">
      <c r="A44" s="30" t="s">
        <v>454</v>
      </c>
      <c r="B44" s="30" t="s">
        <v>455</v>
      </c>
      <c r="C44" s="30" t="s">
        <v>517</v>
      </c>
      <c r="D44" t="s">
        <v>169</v>
      </c>
      <c r="E44" t="str">
        <f t="shared" si="1"/>
        <v>NG_26_A</v>
      </c>
      <c r="F44" t="str">
        <f>INDEX(raw!$B$2:$I$100,MATCH(data!D44,raw!$B$2:$B$108, 0), MATCH(data!F$1,raw!$B$1:$I$1, 0))</f>
        <v>seagrass</v>
      </c>
      <c r="G44" s="53">
        <f>IFERROR(INDEX(raw!$J$2:$K$86,MATCH(data!D44,raw!$B$2:$B$100,0),MATCH(data!B44,raw!$J$1:$K$1,0)), "NA")</f>
        <v>3538</v>
      </c>
      <c r="H44" s="66">
        <f>IF($F44 = "bare", 0, IFERROR(INDEX(carbon!$A$14:$J$93,MATCH("*"&amp;$E44&amp;"*",carbon!$A$14:$A$93,0),2), "NA"))</f>
        <v>74.42</v>
      </c>
      <c r="I44" s="66">
        <f>IF($F44 = "bare", 0, IFERROR(INDEX(carbon!$A$14:$J$93,MATCH("*"&amp;$E44&amp;"*",carbon!$A$14:$A$93,0),4), "NA"))</f>
        <v>20.22</v>
      </c>
      <c r="J44" s="66">
        <f>IF($F44 = "bare", 0, IFERROR(INDEX(carbon!$A$14:$J$93,MATCH("*"&amp;$E44&amp;"*",carbon!$A$14:$A$93,0),6), "NA"))</f>
        <v>240.09</v>
      </c>
      <c r="K44" s="66">
        <f>IF($F44 = "bare", 0, IFERROR(INDEX(carbon!$A$14:$J$93,MATCH("*"&amp;$E44&amp;"*",carbon!$A$14:$A$93,0),8), "NA"))</f>
        <v>0.91800000000000004</v>
      </c>
    </row>
    <row r="45" spans="1:11" ht="15.75" x14ac:dyDescent="0.25">
      <c r="A45" s="30" t="s">
        <v>454</v>
      </c>
      <c r="B45" s="30" t="s">
        <v>453</v>
      </c>
      <c r="C45" s="30" t="s">
        <v>517</v>
      </c>
      <c r="D45" t="s">
        <v>169</v>
      </c>
      <c r="E45" t="str">
        <f t="shared" si="1"/>
        <v>NG_26_B</v>
      </c>
      <c r="F45" t="str">
        <f>INDEX(raw!$B$2:$I$100,MATCH(data!D45,raw!$B$2:$B$108, 0), MATCH(data!F$1,raw!$B$1:$I$1, 0))</f>
        <v>seagrass</v>
      </c>
      <c r="G45" s="53">
        <f>IFERROR(INDEX(raw!$J$2:$K$86,MATCH(data!D45,raw!$B$2:$B$100,0),MATCH(data!B45,raw!$J$1:$K$1,0)), "NA")</f>
        <v>2263</v>
      </c>
      <c r="H45" s="66">
        <f>IF($F45 = "bare", 0, IFERROR(INDEX(carbon!$A$14:$J$93,MATCH("*"&amp;$E45&amp;"*",carbon!$A$14:$A$93,0),2), "NA"))</f>
        <v>70.69</v>
      </c>
      <c r="I45" s="66">
        <f>IF($F45 = "bare", 0, IFERROR(INDEX(carbon!$A$14:$J$93,MATCH("*"&amp;$E45&amp;"*",carbon!$A$14:$A$93,0),4), "NA"))</f>
        <v>17.940000000000001</v>
      </c>
      <c r="J45" s="66">
        <f>IF($F45 = "bare", 0, IFERROR(INDEX(carbon!$A$14:$J$93,MATCH("*"&amp;$E45&amp;"*",carbon!$A$14:$A$93,0),6), "NA"))</f>
        <v>205.56</v>
      </c>
      <c r="K45" s="66">
        <f>IF($F45 = "bare", 0, IFERROR(INDEX(carbon!$A$14:$J$93,MATCH("*"&amp;$E45&amp;"*",carbon!$A$14:$A$93,0),8), "NA"))</f>
        <v>0.72870000000000001</v>
      </c>
    </row>
    <row r="46" spans="1:11" ht="15.75" x14ac:dyDescent="0.25">
      <c r="A46" s="30" t="s">
        <v>454</v>
      </c>
      <c r="B46" s="30" t="s">
        <v>455</v>
      </c>
      <c r="C46" s="30" t="s">
        <v>517</v>
      </c>
      <c r="D46" t="s">
        <v>166</v>
      </c>
      <c r="E46" t="str">
        <f t="shared" si="1"/>
        <v>NG_27_A</v>
      </c>
      <c r="F46" t="str">
        <f>INDEX(raw!$B$2:$I$100,MATCH(data!D46,raw!$B$2:$B$108, 0), MATCH(data!F$1,raw!$B$1:$I$1, 0))</f>
        <v>seagrass</v>
      </c>
      <c r="G46" s="53">
        <f>IFERROR(INDEX(raw!$J$2:$K$86,MATCH(data!D46,raw!$B$2:$B$100,0),MATCH(data!B46,raw!$J$1:$K$1,0)), "NA")</f>
        <v>2566</v>
      </c>
      <c r="H46" s="66">
        <f>IF($F46 = "bare", 0, IFERROR(INDEX(carbon!$A$14:$J$93,MATCH("*"&amp;$E46&amp;"*",carbon!$A$14:$A$93,0),2), "NA"))</f>
        <v>78.55</v>
      </c>
      <c r="I46" s="66">
        <f>IF($F46 = "bare", 0, IFERROR(INDEX(carbon!$A$14:$J$93,MATCH("*"&amp;$E46&amp;"*",carbon!$A$14:$A$93,0),4), "NA"))</f>
        <v>23.34</v>
      </c>
      <c r="J46" s="66">
        <f>IF($F46 = "bare", 0, IFERROR(INDEX(carbon!$A$14:$J$93,MATCH("*"&amp;$E46&amp;"*",carbon!$A$14:$A$93,0),6), "NA"))</f>
        <v>187.41</v>
      </c>
      <c r="K46" s="66">
        <f>IF($F46 = "bare", 0, IFERROR(INDEX(carbon!$A$14:$J$93,MATCH("*"&amp;$E46&amp;"*",carbon!$A$14:$A$93,0),8), "NA"))</f>
        <v>1.7370000000000001</v>
      </c>
    </row>
    <row r="47" spans="1:11" ht="15.75" x14ac:dyDescent="0.25">
      <c r="A47" s="30" t="s">
        <v>454</v>
      </c>
      <c r="B47" s="30" t="s">
        <v>453</v>
      </c>
      <c r="C47" s="30" t="s">
        <v>517</v>
      </c>
      <c r="D47" t="s">
        <v>166</v>
      </c>
      <c r="E47" t="str">
        <f t="shared" si="1"/>
        <v>NG_27_B</v>
      </c>
      <c r="F47" t="str">
        <f>INDEX(raw!$B$2:$I$100,MATCH(data!D47,raw!$B$2:$B$108, 0), MATCH(data!F$1,raw!$B$1:$I$1, 0))</f>
        <v>seagrass</v>
      </c>
      <c r="G47" s="53">
        <f>IFERROR(INDEX(raw!$J$2:$K$86,MATCH(data!D47,raw!$B$2:$B$100,0),MATCH(data!B47,raw!$J$1:$K$1,0)), "NA")</f>
        <v>1512</v>
      </c>
      <c r="H47" s="66">
        <f>IF($F47 = "bare", 0, IFERROR(INDEX(carbon!$A$14:$J$93,MATCH("*"&amp;$E47&amp;"*",carbon!$A$14:$A$93,0),2), "NA"))</f>
        <v>77.400000000000006</v>
      </c>
      <c r="I47" s="66">
        <f>IF($F47 = "bare", 0, IFERROR(INDEX(carbon!$A$14:$J$93,MATCH("*"&amp;$E47&amp;"*",carbon!$A$14:$A$93,0),4), "NA"))</f>
        <v>19.61</v>
      </c>
      <c r="J47" s="66">
        <f>IF($F47 = "bare", 0, IFERROR(INDEX(carbon!$A$14:$J$93,MATCH("*"&amp;$E47&amp;"*",carbon!$A$14:$A$93,0),6), "NA"))</f>
        <v>247.92</v>
      </c>
      <c r="K47" s="66">
        <f>IF($F47 = "bare", 0, IFERROR(INDEX(carbon!$A$14:$J$93,MATCH("*"&amp;$E47&amp;"*",carbon!$A$14:$A$93,0),8), "NA"))</f>
        <v>1.0900000000000001</v>
      </c>
    </row>
    <row r="48" spans="1:11" ht="15.75" x14ac:dyDescent="0.25">
      <c r="A48" s="30" t="s">
        <v>454</v>
      </c>
      <c r="B48" s="30" t="s">
        <v>455</v>
      </c>
      <c r="C48" s="30" t="s">
        <v>517</v>
      </c>
      <c r="D48" t="s">
        <v>159</v>
      </c>
      <c r="E48" t="str">
        <f t="shared" si="1"/>
        <v>NG_28_A</v>
      </c>
      <c r="F48" t="str">
        <f>INDEX(raw!$B$2:$I$100,MATCH(data!D48,raw!$B$2:$B$108, 0), MATCH(data!F$1,raw!$B$1:$I$1, 0))</f>
        <v>seagrass</v>
      </c>
      <c r="G48" s="53">
        <f>IFERROR(INDEX(raw!$J$2:$K$86,MATCH(data!D48,raw!$B$2:$B$100,0),MATCH(data!B48,raw!$J$1:$K$1,0)), "NA")</f>
        <v>717</v>
      </c>
      <c r="H48" s="66" t="str">
        <f>IF($F48 = "bare", 0, IFERROR(INDEX(carbon!$A$14:$J$93,MATCH("*"&amp;$E48&amp;"*",carbon!$A$14:$A$93,0),2), "NA"))</f>
        <v>NA</v>
      </c>
      <c r="I48" s="66" t="str">
        <f>IF($F48 = "bare", 0, IFERROR(INDEX(carbon!$A$14:$J$93,MATCH("*"&amp;$E48&amp;"*",carbon!$A$14:$A$93,0),4), "NA"))</f>
        <v>NA</v>
      </c>
      <c r="J48" s="66" t="str">
        <f>IF($F48 = "bare", 0, IFERROR(INDEX(carbon!$A$14:$J$93,MATCH("*"&amp;$E48&amp;"*",carbon!$A$14:$A$93,0),6), "NA"))</f>
        <v>NA</v>
      </c>
      <c r="K48" s="66" t="str">
        <f>IF($F48 = "bare", 0, IFERROR(INDEX(carbon!$A$14:$J$93,MATCH("*"&amp;$E48&amp;"*",carbon!$A$14:$A$93,0),8), "NA"))</f>
        <v>NA</v>
      </c>
    </row>
    <row r="49" spans="1:11" ht="15.75" x14ac:dyDescent="0.25">
      <c r="A49" s="30" t="s">
        <v>454</v>
      </c>
      <c r="B49" s="30" t="s">
        <v>453</v>
      </c>
      <c r="C49" s="30" t="s">
        <v>517</v>
      </c>
      <c r="D49" t="s">
        <v>159</v>
      </c>
      <c r="E49" t="str">
        <f t="shared" si="1"/>
        <v>NG_28_B</v>
      </c>
      <c r="F49" t="str">
        <f>INDEX(raw!$B$2:$I$100,MATCH(data!D49,raw!$B$2:$B$108, 0), MATCH(data!F$1,raw!$B$1:$I$1, 0))</f>
        <v>seagrass</v>
      </c>
      <c r="G49" s="53">
        <f>IFERROR(INDEX(raw!$J$2:$K$86,MATCH(data!D49,raw!$B$2:$B$100,0),MATCH(data!B49,raw!$J$1:$K$1,0)), "NA")</f>
        <v>835</v>
      </c>
      <c r="H49" s="66" t="str">
        <f>IF($F49 = "bare", 0, IFERROR(INDEX(carbon!$A$14:$J$93,MATCH("*"&amp;$E49&amp;"*",carbon!$A$14:$A$93,0),2), "NA"))</f>
        <v>NA</v>
      </c>
      <c r="I49" s="66" t="str">
        <f>IF($F49 = "bare", 0, IFERROR(INDEX(carbon!$A$14:$J$93,MATCH("*"&amp;$E49&amp;"*",carbon!$A$14:$A$93,0),4), "NA"))</f>
        <v>NA</v>
      </c>
      <c r="J49" s="66" t="str">
        <f>IF($F49 = "bare", 0, IFERROR(INDEX(carbon!$A$14:$J$93,MATCH("*"&amp;$E49&amp;"*",carbon!$A$14:$A$93,0),6), "NA"))</f>
        <v>NA</v>
      </c>
      <c r="K49" s="66" t="str">
        <f>IF($F49 = "bare", 0, IFERROR(INDEX(carbon!$A$14:$J$93,MATCH("*"&amp;$E49&amp;"*",carbon!$A$14:$A$93,0),8), "NA"))</f>
        <v>NA</v>
      </c>
    </row>
    <row r="50" spans="1:11" ht="15.75" x14ac:dyDescent="0.25">
      <c r="A50" s="30" t="s">
        <v>454</v>
      </c>
      <c r="B50" s="30" t="s">
        <v>455</v>
      </c>
      <c r="C50" s="30" t="s">
        <v>517</v>
      </c>
      <c r="D50" t="s">
        <v>215</v>
      </c>
      <c r="E50" t="str">
        <f t="shared" si="1"/>
        <v>NG_29_A</v>
      </c>
      <c r="F50" t="str">
        <f>INDEX(raw!$B$2:$I$100,MATCH(data!D50,raw!$B$2:$B$108, 0), MATCH(data!F$1,raw!$B$1:$I$1, 0))</f>
        <v>bare</v>
      </c>
      <c r="G50" s="53">
        <f>IFERROR(INDEX(raw!$J$2:$K$86,MATCH(data!D50,raw!$B$2:$B$100,0),MATCH(data!B50,raw!$J$1:$K$1,0)), "NA")</f>
        <v>12</v>
      </c>
      <c r="H50" s="66">
        <f>IF($F50 = "bare", 0, IFERROR(INDEX(carbon!$A$14:$J$93,MATCH("*"&amp;$E50&amp;"*",carbon!$A$14:$A$93,0),2), "NA"))</f>
        <v>0</v>
      </c>
      <c r="I50" s="66">
        <f>IF($F50 = "bare", 0, IFERROR(INDEX(carbon!$A$14:$J$93,MATCH("*"&amp;$E50&amp;"*",carbon!$A$14:$A$93,0),4), "NA"))</f>
        <v>0</v>
      </c>
      <c r="J50" s="66">
        <f>IF($F50 = "bare", 0, IFERROR(INDEX(carbon!$A$14:$J$93,MATCH("*"&amp;$E50&amp;"*",carbon!$A$14:$A$93,0),6), "NA"))</f>
        <v>0</v>
      </c>
      <c r="K50" s="66">
        <f>IF($F50 = "bare", 0, IFERROR(INDEX(carbon!$A$14:$J$93,MATCH("*"&amp;$E50&amp;"*",carbon!$A$14:$A$93,0),8), "NA"))</f>
        <v>0</v>
      </c>
    </row>
    <row r="51" spans="1:11" ht="15.75" x14ac:dyDescent="0.25">
      <c r="A51" s="30" t="s">
        <v>454</v>
      </c>
      <c r="B51" s="30" t="s">
        <v>453</v>
      </c>
      <c r="C51" s="30" t="s">
        <v>517</v>
      </c>
      <c r="D51" t="s">
        <v>215</v>
      </c>
      <c r="E51" t="str">
        <f t="shared" si="1"/>
        <v>NG_29_B</v>
      </c>
      <c r="F51" t="str">
        <f>INDEX(raw!$B$2:$I$100,MATCH(data!D51,raw!$B$2:$B$108, 0), MATCH(data!F$1,raw!$B$1:$I$1, 0))</f>
        <v>bare</v>
      </c>
      <c r="G51" s="53">
        <f>IFERROR(INDEX(raw!$J$2:$K$86,MATCH(data!D51,raw!$B$2:$B$100,0),MATCH(data!B51,raw!$J$1:$K$1,0)), "NA")</f>
        <v>118</v>
      </c>
      <c r="H51" s="66">
        <f>IF($F51 = "bare", 0, IFERROR(INDEX(carbon!$A$14:$J$93,MATCH("*"&amp;$E51&amp;"*",carbon!$A$14:$A$93,0),2), "NA"))</f>
        <v>0</v>
      </c>
      <c r="I51" s="66">
        <f>IF($F51 = "bare", 0, IFERROR(INDEX(carbon!$A$14:$J$93,MATCH("*"&amp;$E51&amp;"*",carbon!$A$14:$A$93,0),4), "NA"))</f>
        <v>0</v>
      </c>
      <c r="J51" s="66">
        <f>IF($F51 = "bare", 0, IFERROR(INDEX(carbon!$A$14:$J$93,MATCH("*"&amp;$E51&amp;"*",carbon!$A$14:$A$93,0),6), "NA"))</f>
        <v>0</v>
      </c>
      <c r="K51" s="66">
        <f>IF($F51 = "bare", 0, IFERROR(INDEX(carbon!$A$14:$J$93,MATCH("*"&amp;$E51&amp;"*",carbon!$A$14:$A$93,0),8), "NA"))</f>
        <v>0</v>
      </c>
    </row>
    <row r="52" spans="1:11" ht="15.75" x14ac:dyDescent="0.25">
      <c r="A52" s="30" t="s">
        <v>454</v>
      </c>
      <c r="B52" s="30" t="s">
        <v>455</v>
      </c>
      <c r="C52" s="30" t="s">
        <v>517</v>
      </c>
      <c r="D52" t="s">
        <v>218</v>
      </c>
      <c r="E52" t="str">
        <f t="shared" si="1"/>
        <v>NG_30_A</v>
      </c>
      <c r="F52" t="str">
        <f>INDEX(raw!$B$2:$I$100,MATCH(data!D52,raw!$B$2:$B$108, 0), MATCH(data!F$1,raw!$B$1:$I$1, 0))</f>
        <v>bare</v>
      </c>
      <c r="G52" s="53">
        <f>IFERROR(INDEX(raw!$J$2:$K$86,MATCH(data!D52,raw!$B$2:$B$100,0),MATCH(data!B52,raw!$J$1:$K$1,0)), "NA")</f>
        <v>0</v>
      </c>
      <c r="H52" s="66">
        <f>IF($F52 = "bare", 0, IFERROR(INDEX(carbon!$A$14:$J$93,MATCH("*"&amp;$E52&amp;"*",carbon!$A$14:$A$93,0),2), "NA"))</f>
        <v>0</v>
      </c>
      <c r="I52" s="66">
        <f>IF($F52 = "bare", 0, IFERROR(INDEX(carbon!$A$14:$J$93,MATCH("*"&amp;$E52&amp;"*",carbon!$A$14:$A$93,0),4), "NA"))</f>
        <v>0</v>
      </c>
      <c r="J52" s="66">
        <f>IF($F52 = "bare", 0, IFERROR(INDEX(carbon!$A$14:$J$93,MATCH("*"&amp;$E52&amp;"*",carbon!$A$14:$A$93,0),6), "NA"))</f>
        <v>0</v>
      </c>
      <c r="K52" s="66">
        <f>IF($F52 = "bare", 0, IFERROR(INDEX(carbon!$A$14:$J$93,MATCH("*"&amp;$E52&amp;"*",carbon!$A$14:$A$93,0),8), "NA"))</f>
        <v>0</v>
      </c>
    </row>
    <row r="53" spans="1:11" ht="15.75" x14ac:dyDescent="0.25">
      <c r="A53" s="30" t="s">
        <v>454</v>
      </c>
      <c r="B53" s="30" t="s">
        <v>453</v>
      </c>
      <c r="C53" s="30" t="s">
        <v>517</v>
      </c>
      <c r="D53" t="s">
        <v>218</v>
      </c>
      <c r="E53" t="str">
        <f t="shared" si="1"/>
        <v>NG_30_B</v>
      </c>
      <c r="F53" t="str">
        <f>INDEX(raw!$B$2:$I$100,MATCH(data!D53,raw!$B$2:$B$108, 0), MATCH(data!F$1,raw!$B$1:$I$1, 0))</f>
        <v>bare</v>
      </c>
      <c r="G53" s="53">
        <f>IFERROR(INDEX(raw!$J$2:$K$86,MATCH(data!D53,raw!$B$2:$B$100,0),MATCH(data!B53,raw!$J$1:$K$1,0)), "NA")</f>
        <v>0</v>
      </c>
      <c r="H53" s="66">
        <f>IF($F53 = "bare", 0, IFERROR(INDEX(carbon!$A$14:$J$93,MATCH("*"&amp;$E53&amp;"*",carbon!$A$14:$A$93,0),2), "NA"))</f>
        <v>0</v>
      </c>
      <c r="I53" s="66">
        <f>IF($F53 = "bare", 0, IFERROR(INDEX(carbon!$A$14:$J$93,MATCH("*"&amp;$E53&amp;"*",carbon!$A$14:$A$93,0),4), "NA"))</f>
        <v>0</v>
      </c>
      <c r="J53" s="66">
        <f>IF($F53 = "bare", 0, IFERROR(INDEX(carbon!$A$14:$J$93,MATCH("*"&amp;$E53&amp;"*",carbon!$A$14:$A$93,0),6), "NA"))</f>
        <v>0</v>
      </c>
      <c r="K53" s="66">
        <f>IF($F53 = "bare", 0, IFERROR(INDEX(carbon!$A$14:$J$93,MATCH("*"&amp;$E53&amp;"*",carbon!$A$14:$A$93,0),8), "NA"))</f>
        <v>0</v>
      </c>
    </row>
    <row r="54" spans="1:11" ht="15.75" x14ac:dyDescent="0.25">
      <c r="A54" s="30" t="s">
        <v>454</v>
      </c>
      <c r="B54" s="30" t="s">
        <v>455</v>
      </c>
      <c r="C54" s="30" t="s">
        <v>517</v>
      </c>
      <c r="D54" t="s">
        <v>224</v>
      </c>
      <c r="E54" t="str">
        <f t="shared" si="1"/>
        <v>NG_31_A</v>
      </c>
      <c r="F54" t="str">
        <f>INDEX(raw!$B$2:$I$100,MATCH(data!D54,raw!$B$2:$B$108, 0), MATCH(data!F$1,raw!$B$1:$I$1, 0))</f>
        <v>bare</v>
      </c>
      <c r="G54" s="53">
        <f>IFERROR(INDEX(raw!$J$2:$K$86,MATCH(data!D54,raw!$B$2:$B$100,0),MATCH(data!B54,raw!$J$1:$K$1,0)), "NA")</f>
        <v>0</v>
      </c>
      <c r="H54" s="66">
        <f>IF($F54 = "bare", 0, IFERROR(INDEX(carbon!$A$14:$J$93,MATCH("*"&amp;$E54&amp;"*",carbon!$A$14:$A$93,0),2), "NA"))</f>
        <v>0</v>
      </c>
      <c r="I54" s="66">
        <f>IF($F54 = "bare", 0, IFERROR(INDEX(carbon!$A$14:$J$93,MATCH("*"&amp;$E54&amp;"*",carbon!$A$14:$A$93,0),4), "NA"))</f>
        <v>0</v>
      </c>
      <c r="J54" s="66">
        <f>IF($F54 = "bare", 0, IFERROR(INDEX(carbon!$A$14:$J$93,MATCH("*"&amp;$E54&amp;"*",carbon!$A$14:$A$93,0),6), "NA"))</f>
        <v>0</v>
      </c>
      <c r="K54" s="66">
        <f>IF($F54 = "bare", 0, IFERROR(INDEX(carbon!$A$14:$J$93,MATCH("*"&amp;$E54&amp;"*",carbon!$A$14:$A$93,0),8), "NA"))</f>
        <v>0</v>
      </c>
    </row>
    <row r="55" spans="1:11" ht="15.75" x14ac:dyDescent="0.25">
      <c r="A55" s="30" t="s">
        <v>454</v>
      </c>
      <c r="B55" s="30" t="s">
        <v>453</v>
      </c>
      <c r="C55" s="30" t="s">
        <v>517</v>
      </c>
      <c r="D55" t="s">
        <v>224</v>
      </c>
      <c r="E55" t="str">
        <f t="shared" si="1"/>
        <v>NG_31_B</v>
      </c>
      <c r="F55" t="str">
        <f>INDEX(raw!$B$2:$I$100,MATCH(data!D55,raw!$B$2:$B$108, 0), MATCH(data!F$1,raw!$B$1:$I$1, 0))</f>
        <v>bare</v>
      </c>
      <c r="G55" s="53">
        <f>IFERROR(INDEX(raw!$J$2:$K$86,MATCH(data!D55,raw!$B$2:$B$100,0),MATCH(data!B55,raw!$J$1:$K$1,0)), "NA")</f>
        <v>0</v>
      </c>
      <c r="H55" s="66">
        <f>IF($F55 = "bare", 0, IFERROR(INDEX(carbon!$A$14:$J$93,MATCH("*"&amp;$E55&amp;"*",carbon!$A$14:$A$93,0),2), "NA"))</f>
        <v>0</v>
      </c>
      <c r="I55" s="66">
        <f>IF($F55 = "bare", 0, IFERROR(INDEX(carbon!$A$14:$J$93,MATCH("*"&amp;$E55&amp;"*",carbon!$A$14:$A$93,0),4), "NA"))</f>
        <v>0</v>
      </c>
      <c r="J55" s="66">
        <f>IF($F55 = "bare", 0, IFERROR(INDEX(carbon!$A$14:$J$93,MATCH("*"&amp;$E55&amp;"*",carbon!$A$14:$A$93,0),6), "NA"))</f>
        <v>0</v>
      </c>
      <c r="K55" s="66">
        <f>IF($F55 = "bare", 0, IFERROR(INDEX(carbon!$A$14:$J$93,MATCH("*"&amp;$E55&amp;"*",carbon!$A$14:$A$93,0),8), "NA"))</f>
        <v>0</v>
      </c>
    </row>
    <row r="56" spans="1:11" ht="15.75" x14ac:dyDescent="0.25">
      <c r="A56" s="30" t="s">
        <v>454</v>
      </c>
      <c r="B56" s="30" t="s">
        <v>455</v>
      </c>
      <c r="C56" s="30" t="s">
        <v>517</v>
      </c>
      <c r="D56" t="s">
        <v>194</v>
      </c>
      <c r="E56" t="str">
        <f t="shared" si="1"/>
        <v>NG_32_A</v>
      </c>
      <c r="F56" t="str">
        <f>INDEX(raw!$B$2:$I$100,MATCH(data!D56,raw!$B$2:$B$108, 0), MATCH(data!F$1,raw!$B$1:$I$1, 0))</f>
        <v>bare</v>
      </c>
      <c r="G56" s="53">
        <f>IFERROR(INDEX(raw!$J$2:$K$86,MATCH(data!D56,raw!$B$2:$B$100,0),MATCH(data!B56,raw!$J$1:$K$1,0)), "NA")</f>
        <v>0</v>
      </c>
      <c r="H56" s="66">
        <f>IF($F56 = "bare", 0, IFERROR(INDEX(carbon!$A$14:$J$93,MATCH("*"&amp;$E56&amp;"*",carbon!$A$14:$A$93,0),2), "NA"))</f>
        <v>0</v>
      </c>
      <c r="I56" s="66">
        <f>IF($F56 = "bare", 0, IFERROR(INDEX(carbon!$A$14:$J$93,MATCH("*"&amp;$E56&amp;"*",carbon!$A$14:$A$93,0),4), "NA"))</f>
        <v>0</v>
      </c>
      <c r="J56" s="66">
        <f>IF($F56 = "bare", 0, IFERROR(INDEX(carbon!$A$14:$J$93,MATCH("*"&amp;$E56&amp;"*",carbon!$A$14:$A$93,0),6), "NA"))</f>
        <v>0</v>
      </c>
      <c r="K56" s="66">
        <f>IF($F56 = "bare", 0, IFERROR(INDEX(carbon!$A$14:$J$93,MATCH("*"&amp;$E56&amp;"*",carbon!$A$14:$A$93,0),8), "NA"))</f>
        <v>0</v>
      </c>
    </row>
    <row r="57" spans="1:11" ht="15.75" x14ac:dyDescent="0.25">
      <c r="A57" s="30" t="s">
        <v>454</v>
      </c>
      <c r="B57" s="30" t="s">
        <v>453</v>
      </c>
      <c r="C57" s="30" t="s">
        <v>517</v>
      </c>
      <c r="D57" t="s">
        <v>194</v>
      </c>
      <c r="E57" t="str">
        <f t="shared" si="1"/>
        <v>NG_32_B</v>
      </c>
      <c r="F57" t="str">
        <f>INDEX(raw!$B$2:$I$100,MATCH(data!D57,raw!$B$2:$B$108, 0), MATCH(data!F$1,raw!$B$1:$I$1, 0))</f>
        <v>bare</v>
      </c>
      <c r="G57" s="53">
        <f>IFERROR(INDEX(raw!$J$2:$K$86,MATCH(data!D57,raw!$B$2:$B$100,0),MATCH(data!B57,raw!$J$1:$K$1,0)), "NA")</f>
        <v>0</v>
      </c>
      <c r="H57" s="66">
        <f>IF($F57 = "bare", 0, IFERROR(INDEX(carbon!$A$14:$J$93,MATCH("*"&amp;$E57&amp;"*",carbon!$A$14:$A$93,0),2), "NA"))</f>
        <v>0</v>
      </c>
      <c r="I57" s="66">
        <f>IF($F57 = "bare", 0, IFERROR(INDEX(carbon!$A$14:$J$93,MATCH("*"&amp;$E57&amp;"*",carbon!$A$14:$A$93,0),4), "NA"))</f>
        <v>0</v>
      </c>
      <c r="J57" s="66">
        <f>IF($F57 = "bare", 0, IFERROR(INDEX(carbon!$A$14:$J$93,MATCH("*"&amp;$E57&amp;"*",carbon!$A$14:$A$93,0),6), "NA"))</f>
        <v>0</v>
      </c>
      <c r="K57" s="66">
        <f>IF($F57 = "bare", 0, IFERROR(INDEX(carbon!$A$14:$J$93,MATCH("*"&amp;$E57&amp;"*",carbon!$A$14:$A$93,0),8), "NA"))</f>
        <v>0</v>
      </c>
    </row>
    <row r="58" spans="1:11" ht="15.75" x14ac:dyDescent="0.25">
      <c r="A58" s="30" t="s">
        <v>454</v>
      </c>
      <c r="B58" s="30" t="s">
        <v>455</v>
      </c>
      <c r="C58" s="30" t="s">
        <v>517</v>
      </c>
      <c r="D58" t="s">
        <v>262</v>
      </c>
      <c r="E58" t="str">
        <f t="shared" si="1"/>
        <v>NR_36_A</v>
      </c>
      <c r="F58" t="str">
        <f>INDEX(raw!$B$2:$I$100,MATCH(data!D58,raw!$B$2:$B$108, 0), MATCH(data!F$1,raw!$B$1:$I$1, 0))</f>
        <v>seagrass</v>
      </c>
      <c r="G58" s="53">
        <f>IFERROR(INDEX(raw!$J$2:$K$86,MATCH(data!D58,raw!$B$2:$B$100,0),MATCH(data!B58,raw!$J$1:$K$1,0)), "NA")</f>
        <v>1220</v>
      </c>
      <c r="H58" s="66" t="str">
        <f>IF($F58 = "bare", 0, IFERROR(INDEX(carbon!$A$14:$J$93,MATCH("*"&amp;$E58&amp;"*",carbon!$A$14:$A$93,0),2), "NA"))</f>
        <v>NA</v>
      </c>
      <c r="I58" s="66" t="str">
        <f>IF($F58 = "bare", 0, IFERROR(INDEX(carbon!$A$14:$J$93,MATCH("*"&amp;$E58&amp;"*",carbon!$A$14:$A$93,0),4), "NA"))</f>
        <v>NA</v>
      </c>
      <c r="J58" s="66" t="str">
        <f>IF($F58 = "bare", 0, IFERROR(INDEX(carbon!$A$14:$J$93,MATCH("*"&amp;$E58&amp;"*",carbon!$A$14:$A$93,0),6), "NA"))</f>
        <v>NA</v>
      </c>
      <c r="K58" s="66" t="str">
        <f>IF($F58 = "bare", 0, IFERROR(INDEX(carbon!$A$14:$J$93,MATCH("*"&amp;$E58&amp;"*",carbon!$A$14:$A$93,0),8), "NA"))</f>
        <v>NA</v>
      </c>
    </row>
    <row r="59" spans="1:11" ht="15.75" x14ac:dyDescent="0.25">
      <c r="A59" s="30" t="s">
        <v>454</v>
      </c>
      <c r="B59" s="30" t="s">
        <v>453</v>
      </c>
      <c r="C59" s="30" t="s">
        <v>517</v>
      </c>
      <c r="D59" t="s">
        <v>262</v>
      </c>
      <c r="E59" t="str">
        <f t="shared" si="1"/>
        <v>NR_36_B</v>
      </c>
      <c r="F59" t="str">
        <f>INDEX(raw!$B$2:$I$100,MATCH(data!D59,raw!$B$2:$B$108, 0), MATCH(data!F$1,raw!$B$1:$I$1, 0))</f>
        <v>seagrass</v>
      </c>
      <c r="G59" s="53">
        <f>IFERROR(INDEX(raw!$J$2:$K$86,MATCH(data!D59,raw!$B$2:$B$100,0),MATCH(data!B59,raw!$J$1:$K$1,0)), "NA")</f>
        <v>2529</v>
      </c>
      <c r="H59" s="66" t="str">
        <f>IF($F59 = "bare", 0, IFERROR(INDEX(carbon!$A$14:$J$93,MATCH("*"&amp;$E59&amp;"*",carbon!$A$14:$A$93,0),2), "NA"))</f>
        <v>NA</v>
      </c>
      <c r="I59" s="66" t="str">
        <f>IF($F59 = "bare", 0, IFERROR(INDEX(carbon!$A$14:$J$93,MATCH("*"&amp;$E59&amp;"*",carbon!$A$14:$A$93,0),4), "NA"))</f>
        <v>NA</v>
      </c>
      <c r="J59" s="66" t="str">
        <f>IF($F59 = "bare", 0, IFERROR(INDEX(carbon!$A$14:$J$93,MATCH("*"&amp;$E59&amp;"*",carbon!$A$14:$A$93,0),6), "NA"))</f>
        <v>NA</v>
      </c>
      <c r="K59" s="66" t="str">
        <f>IF($F59 = "bare", 0, IFERROR(INDEX(carbon!$A$14:$J$93,MATCH("*"&amp;$E59&amp;"*",carbon!$A$14:$A$93,0),8), "NA"))</f>
        <v>NA</v>
      </c>
    </row>
    <row r="60" spans="1:11" ht="15.75" x14ac:dyDescent="0.25">
      <c r="A60" s="30" t="s">
        <v>454</v>
      </c>
      <c r="B60" s="30" t="s">
        <v>455</v>
      </c>
      <c r="C60" s="30" t="s">
        <v>517</v>
      </c>
      <c r="D60" t="s">
        <v>254</v>
      </c>
      <c r="E60" t="str">
        <f t="shared" si="1"/>
        <v>NR_37_A</v>
      </c>
      <c r="F60" t="str">
        <f>INDEX(raw!$B$2:$I$100,MATCH(data!D60,raw!$B$2:$B$108, 0), MATCH(data!F$1,raw!$B$1:$I$1, 0))</f>
        <v>algae</v>
      </c>
      <c r="G60" s="53">
        <f>IFERROR(INDEX(raw!$J$2:$K$86,MATCH(data!D60,raw!$B$2:$B$100,0),MATCH(data!B60,raw!$J$1:$K$1,0)), "NA")</f>
        <v>12</v>
      </c>
      <c r="H60" s="66" t="str">
        <f>IF($F60 = "bare", 0, IFERROR(INDEX(carbon!$A$14:$J$93,MATCH("*"&amp;$E60&amp;"*",carbon!$A$14:$A$93,0),2), "NA"))</f>
        <v>NA</v>
      </c>
      <c r="I60" s="66" t="str">
        <f>IF($F60 = "bare", 0, IFERROR(INDEX(carbon!$A$14:$J$93,MATCH("*"&amp;$E60&amp;"*",carbon!$A$14:$A$93,0),4), "NA"))</f>
        <v>NA</v>
      </c>
      <c r="J60" s="66" t="str">
        <f>IF($F60 = "bare", 0, IFERROR(INDEX(carbon!$A$14:$J$93,MATCH("*"&amp;$E60&amp;"*",carbon!$A$14:$A$93,0),6), "NA"))</f>
        <v>NA</v>
      </c>
      <c r="K60" s="66" t="str">
        <f>IF($F60 = "bare", 0, IFERROR(INDEX(carbon!$A$14:$J$93,MATCH("*"&amp;$E60&amp;"*",carbon!$A$14:$A$93,0),8), "NA"))</f>
        <v>NA</v>
      </c>
    </row>
    <row r="61" spans="1:11" ht="15.75" x14ac:dyDescent="0.25">
      <c r="A61" s="30" t="s">
        <v>454</v>
      </c>
      <c r="B61" s="30" t="s">
        <v>453</v>
      </c>
      <c r="C61" s="30" t="s">
        <v>517</v>
      </c>
      <c r="D61" t="s">
        <v>254</v>
      </c>
      <c r="E61" t="str">
        <f t="shared" si="1"/>
        <v>NR_37_B</v>
      </c>
      <c r="F61" t="str">
        <f>INDEX(raw!$B$2:$I$100,MATCH(data!D61,raw!$B$2:$B$108, 0), MATCH(data!F$1,raw!$B$1:$I$1, 0))</f>
        <v>algae</v>
      </c>
      <c r="G61" s="53">
        <f>IFERROR(INDEX(raw!$J$2:$K$86,MATCH(data!D61,raw!$B$2:$B$100,0),MATCH(data!B61,raw!$J$1:$K$1,0)), "NA")</f>
        <v>0</v>
      </c>
      <c r="H61" s="66" t="str">
        <f>IF($F61 = "bare", 0, IFERROR(INDEX(carbon!$A$14:$J$93,MATCH("*"&amp;$E61&amp;"*",carbon!$A$14:$A$93,0),2), "NA"))</f>
        <v>NA</v>
      </c>
      <c r="I61" s="66" t="str">
        <f>IF($F61 = "bare", 0, IFERROR(INDEX(carbon!$A$14:$J$93,MATCH("*"&amp;$E61&amp;"*",carbon!$A$14:$A$93,0),4), "NA"))</f>
        <v>NA</v>
      </c>
      <c r="J61" s="66" t="str">
        <f>IF($F61 = "bare", 0, IFERROR(INDEX(carbon!$A$14:$J$93,MATCH("*"&amp;$E61&amp;"*",carbon!$A$14:$A$93,0),6), "NA"))</f>
        <v>NA</v>
      </c>
      <c r="K61" s="66" t="str">
        <f>IF($F61 = "bare", 0, IFERROR(INDEX(carbon!$A$14:$J$93,MATCH("*"&amp;$E61&amp;"*",carbon!$A$14:$A$93,0),8), "NA"))</f>
        <v>NA</v>
      </c>
    </row>
    <row r="62" spans="1:11" ht="15.75" x14ac:dyDescent="0.25">
      <c r="A62" s="30" t="s">
        <v>454</v>
      </c>
      <c r="B62" s="30" t="s">
        <v>455</v>
      </c>
      <c r="C62" s="30" t="s">
        <v>517</v>
      </c>
      <c r="D62" t="s">
        <v>287</v>
      </c>
      <c r="E62" t="str">
        <f t="shared" si="1"/>
        <v>NR_38_A</v>
      </c>
      <c r="F62" t="str">
        <f>INDEX(raw!$B$2:$I$100,MATCH(data!D62,raw!$B$2:$B$108, 0), MATCH(data!F$1,raw!$B$1:$I$1, 0))</f>
        <v>creek</v>
      </c>
      <c r="G62" s="53" t="str">
        <f>IFERROR(INDEX(raw!$J$2:$K$86,MATCH(data!D62,raw!$B$2:$B$100,0),MATCH(data!B62,raw!$J$1:$K$1,0)), "NA")</f>
        <v>NA</v>
      </c>
      <c r="H62" s="66" t="str">
        <f>IF($F62 = "bare", 0, IFERROR(INDEX(carbon!$A$14:$J$93,MATCH("*"&amp;$E62&amp;"*",carbon!$A$14:$A$93,0),2), "NA"))</f>
        <v>NA</v>
      </c>
      <c r="I62" s="66" t="str">
        <f>IF($F62 = "bare", 0, IFERROR(INDEX(carbon!$A$14:$J$93,MATCH("*"&amp;$E62&amp;"*",carbon!$A$14:$A$93,0),4), "NA"))</f>
        <v>NA</v>
      </c>
      <c r="J62" s="66" t="str">
        <f>IF($F62 = "bare", 0, IFERROR(INDEX(carbon!$A$14:$J$93,MATCH("*"&amp;$E62&amp;"*",carbon!$A$14:$A$93,0),6), "NA"))</f>
        <v>NA</v>
      </c>
      <c r="K62" s="66" t="str">
        <f>IF($F62 = "bare", 0, IFERROR(INDEX(carbon!$A$14:$J$93,MATCH("*"&amp;$E62&amp;"*",carbon!$A$14:$A$93,0),8), "NA"))</f>
        <v>NA</v>
      </c>
    </row>
    <row r="63" spans="1:11" ht="15.75" x14ac:dyDescent="0.25">
      <c r="A63" s="30" t="s">
        <v>454</v>
      </c>
      <c r="B63" s="30" t="s">
        <v>453</v>
      </c>
      <c r="C63" s="30" t="s">
        <v>517</v>
      </c>
      <c r="D63" t="s">
        <v>287</v>
      </c>
      <c r="E63" t="str">
        <f t="shared" si="1"/>
        <v>NR_38_B</v>
      </c>
      <c r="F63" t="str">
        <f>INDEX(raw!$B$2:$I$100,MATCH(data!D63,raw!$B$2:$B$108, 0), MATCH(data!F$1,raw!$B$1:$I$1, 0))</f>
        <v>creek</v>
      </c>
      <c r="G63" s="53" t="str">
        <f>IFERROR(INDEX(raw!$J$2:$K$86,MATCH(data!D63,raw!$B$2:$B$100,0),MATCH(data!B63,raw!$J$1:$K$1,0)), "NA")</f>
        <v>NA</v>
      </c>
      <c r="H63" s="66" t="str">
        <f>IF($F63 = "bare", 0, IFERROR(INDEX(carbon!$A$14:$J$93,MATCH("*"&amp;$E63&amp;"*",carbon!$A$14:$A$93,0),2), "NA"))</f>
        <v>NA</v>
      </c>
      <c r="I63" s="66" t="str">
        <f>IF($F63 = "bare", 0, IFERROR(INDEX(carbon!$A$14:$J$93,MATCH("*"&amp;$E63&amp;"*",carbon!$A$14:$A$93,0),4), "NA"))</f>
        <v>NA</v>
      </c>
      <c r="J63" s="66" t="str">
        <f>IF($F63 = "bare", 0, IFERROR(INDEX(carbon!$A$14:$J$93,MATCH("*"&amp;$E63&amp;"*",carbon!$A$14:$A$93,0),6), "NA"))</f>
        <v>NA</v>
      </c>
      <c r="K63" s="66" t="str">
        <f>IF($F63 = "bare", 0, IFERROR(INDEX(carbon!$A$14:$J$93,MATCH("*"&amp;$E63&amp;"*",carbon!$A$14:$A$93,0),8), "NA"))</f>
        <v>NA</v>
      </c>
    </row>
    <row r="64" spans="1:11" ht="15.75" x14ac:dyDescent="0.25">
      <c r="A64" s="30" t="s">
        <v>454</v>
      </c>
      <c r="B64" s="30" t="s">
        <v>455</v>
      </c>
      <c r="C64" s="30" t="s">
        <v>517</v>
      </c>
      <c r="D64" t="s">
        <v>234</v>
      </c>
      <c r="E64" t="str">
        <f t="shared" si="1"/>
        <v>NR_39_A</v>
      </c>
      <c r="F64" t="str">
        <f>INDEX(raw!$B$2:$I$100,MATCH(data!D64,raw!$B$2:$B$108, 0), MATCH(data!F$1,raw!$B$1:$I$1, 0))</f>
        <v>seagrass</v>
      </c>
      <c r="G64" s="53">
        <f>IFERROR(INDEX(raw!$J$2:$K$86,MATCH(data!D64,raw!$B$2:$B$100,0),MATCH(data!B64,raw!$J$1:$K$1,0)), "NA")</f>
        <v>926</v>
      </c>
      <c r="H64" s="66" t="str">
        <f>IF($F64 = "bare", 0, IFERROR(INDEX(carbon!$A$14:$J$93,MATCH("*"&amp;$E64&amp;"*",carbon!$A$14:$A$93,0),2), "NA"))</f>
        <v>NA</v>
      </c>
      <c r="I64" s="66" t="str">
        <f>IF($F64 = "bare", 0, IFERROR(INDEX(carbon!$A$14:$J$93,MATCH("*"&amp;$E64&amp;"*",carbon!$A$14:$A$93,0),4), "NA"))</f>
        <v>NA</v>
      </c>
      <c r="J64" s="66" t="str">
        <f>IF($F64 = "bare", 0, IFERROR(INDEX(carbon!$A$14:$J$93,MATCH("*"&amp;$E64&amp;"*",carbon!$A$14:$A$93,0),6), "NA"))</f>
        <v>NA</v>
      </c>
      <c r="K64" s="66" t="str">
        <f>IF($F64 = "bare", 0, IFERROR(INDEX(carbon!$A$14:$J$93,MATCH("*"&amp;$E64&amp;"*",carbon!$A$14:$A$93,0),8), "NA"))</f>
        <v>NA</v>
      </c>
    </row>
    <row r="65" spans="1:11" ht="15.75" x14ac:dyDescent="0.25">
      <c r="A65" s="30" t="s">
        <v>454</v>
      </c>
      <c r="B65" s="30" t="s">
        <v>453</v>
      </c>
      <c r="C65" s="30" t="s">
        <v>517</v>
      </c>
      <c r="D65" t="s">
        <v>234</v>
      </c>
      <c r="E65" t="str">
        <f t="shared" si="1"/>
        <v>NR_39_B</v>
      </c>
      <c r="F65" t="str">
        <f>INDEX(raw!$B$2:$I$100,MATCH(data!D65,raw!$B$2:$B$108, 0), MATCH(data!F$1,raw!$B$1:$I$1, 0))</f>
        <v>seagrass</v>
      </c>
      <c r="G65" s="53">
        <f>IFERROR(INDEX(raw!$J$2:$K$86,MATCH(data!D65,raw!$B$2:$B$100,0),MATCH(data!B65,raw!$J$1:$K$1,0)), "NA")</f>
        <v>1187</v>
      </c>
      <c r="H65" s="66" t="str">
        <f>IF($F65 = "bare", 0, IFERROR(INDEX(carbon!$A$14:$J$93,MATCH("*"&amp;$E65&amp;"*",carbon!$A$14:$A$93,0),2), "NA"))</f>
        <v>NA</v>
      </c>
      <c r="I65" s="66" t="str">
        <f>IF($F65 = "bare", 0, IFERROR(INDEX(carbon!$A$14:$J$93,MATCH("*"&amp;$E65&amp;"*",carbon!$A$14:$A$93,0),4), "NA"))</f>
        <v>NA</v>
      </c>
      <c r="J65" s="66" t="str">
        <f>IF($F65 = "bare", 0, IFERROR(INDEX(carbon!$A$14:$J$93,MATCH("*"&amp;$E65&amp;"*",carbon!$A$14:$A$93,0),6), "NA"))</f>
        <v>NA</v>
      </c>
      <c r="K65" s="66" t="str">
        <f>IF($F65 = "bare", 0, IFERROR(INDEX(carbon!$A$14:$J$93,MATCH("*"&amp;$E65&amp;"*",carbon!$A$14:$A$93,0),8), "NA"))</f>
        <v>NA</v>
      </c>
    </row>
    <row r="66" spans="1:11" ht="15.75" x14ac:dyDescent="0.25">
      <c r="A66" s="30" t="s">
        <v>454</v>
      </c>
      <c r="B66" s="30" t="s">
        <v>455</v>
      </c>
      <c r="C66" s="30" t="s">
        <v>517</v>
      </c>
      <c r="D66" t="s">
        <v>258</v>
      </c>
      <c r="E66" t="str">
        <f t="shared" ref="E66:E97" si="2">CONCATENATE(SUBSTITUTE(D66, " ", "_"), "_", IF(B66 = "Leaves", "A", IF(B66 = "Roots", "B", NA)))</f>
        <v>NR_40_A</v>
      </c>
      <c r="F66" t="str">
        <f>INDEX(raw!$B$2:$I$100,MATCH(data!D66,raw!$B$2:$B$108, 0), MATCH(data!F$1,raw!$B$1:$I$1, 0))</f>
        <v>seagrass</v>
      </c>
      <c r="G66" s="53">
        <f>IFERROR(INDEX(raw!$J$2:$K$86,MATCH(data!D66,raw!$B$2:$B$100,0),MATCH(data!B66,raw!$J$1:$K$1,0)), "NA")</f>
        <v>1396</v>
      </c>
      <c r="H66" s="66" t="str">
        <f>IF($F66 = "bare", 0, IFERROR(INDEX(carbon!$A$14:$J$93,MATCH("*"&amp;$E66&amp;"*",carbon!$A$14:$A$93,0),2), "NA"))</f>
        <v>NA</v>
      </c>
      <c r="I66" s="66" t="str">
        <f>IF($F66 = "bare", 0, IFERROR(INDEX(carbon!$A$14:$J$93,MATCH("*"&amp;$E66&amp;"*",carbon!$A$14:$A$93,0),4), "NA"))</f>
        <v>NA</v>
      </c>
      <c r="J66" s="66" t="str">
        <f>IF($F66 = "bare", 0, IFERROR(INDEX(carbon!$A$14:$J$93,MATCH("*"&amp;$E66&amp;"*",carbon!$A$14:$A$93,0),6), "NA"))</f>
        <v>NA</v>
      </c>
      <c r="K66" s="66" t="str">
        <f>IF($F66 = "bare", 0, IFERROR(INDEX(carbon!$A$14:$J$93,MATCH("*"&amp;$E66&amp;"*",carbon!$A$14:$A$93,0),8), "NA"))</f>
        <v>NA</v>
      </c>
    </row>
    <row r="67" spans="1:11" ht="15.75" x14ac:dyDescent="0.25">
      <c r="A67" s="30" t="s">
        <v>454</v>
      </c>
      <c r="B67" s="30" t="s">
        <v>453</v>
      </c>
      <c r="C67" s="30" t="s">
        <v>517</v>
      </c>
      <c r="D67" t="s">
        <v>258</v>
      </c>
      <c r="E67" t="str">
        <f t="shared" si="2"/>
        <v>NR_40_B</v>
      </c>
      <c r="F67" t="str">
        <f>INDEX(raw!$B$2:$I$100,MATCH(data!D67,raw!$B$2:$B$108, 0), MATCH(data!F$1,raw!$B$1:$I$1, 0))</f>
        <v>seagrass</v>
      </c>
      <c r="G67" s="53">
        <f>IFERROR(INDEX(raw!$J$2:$K$86,MATCH(data!D67,raw!$B$2:$B$100,0),MATCH(data!B67,raw!$J$1:$K$1,0)), "NA")</f>
        <v>916</v>
      </c>
      <c r="H67" s="66" t="str">
        <f>IF($F67 = "bare", 0, IFERROR(INDEX(carbon!$A$14:$J$93,MATCH("*"&amp;$E67&amp;"*",carbon!$A$14:$A$93,0),2), "NA"))</f>
        <v>NA</v>
      </c>
      <c r="I67" s="66" t="str">
        <f>IF($F67 = "bare", 0, IFERROR(INDEX(carbon!$A$14:$J$93,MATCH("*"&amp;$E67&amp;"*",carbon!$A$14:$A$93,0),4), "NA"))</f>
        <v>NA</v>
      </c>
      <c r="J67" s="66" t="str">
        <f>IF($F67 = "bare", 0, IFERROR(INDEX(carbon!$A$14:$J$93,MATCH("*"&amp;$E67&amp;"*",carbon!$A$14:$A$93,0),6), "NA"))</f>
        <v>NA</v>
      </c>
      <c r="K67" s="66" t="str">
        <f>IF($F67 = "bare", 0, IFERROR(INDEX(carbon!$A$14:$J$93,MATCH("*"&amp;$E67&amp;"*",carbon!$A$14:$A$93,0),8), "NA"))</f>
        <v>NA</v>
      </c>
    </row>
    <row r="68" spans="1:11" ht="15.75" x14ac:dyDescent="0.25">
      <c r="A68" s="30" t="s">
        <v>454</v>
      </c>
      <c r="B68" s="30" t="s">
        <v>455</v>
      </c>
      <c r="C68" s="30" t="s">
        <v>517</v>
      </c>
      <c r="D68" t="s">
        <v>252</v>
      </c>
      <c r="E68" t="str">
        <f t="shared" si="2"/>
        <v>NR_41_A</v>
      </c>
      <c r="F68" t="str">
        <f>INDEX(raw!$B$2:$I$100,MATCH(data!D68,raw!$B$2:$B$108, 0), MATCH(data!F$1,raw!$B$1:$I$1, 0))</f>
        <v>seagrass</v>
      </c>
      <c r="G68" s="53">
        <f>IFERROR(INDEX(raw!$J$2:$K$86,MATCH(data!D68,raw!$B$2:$B$100,0),MATCH(data!B68,raw!$J$1:$K$1,0)), "NA")</f>
        <v>951</v>
      </c>
      <c r="H68" s="66">
        <f>IF($F68 = "bare", 0, IFERROR(INDEX(carbon!$A$14:$J$93,MATCH("*"&amp;$E68&amp;"*",carbon!$A$14:$A$93,0),2), "NA"))</f>
        <v>79.540000000000006</v>
      </c>
      <c r="I68" s="66">
        <f>IF($F68 = "bare", 0, IFERROR(INDEX(carbon!$A$14:$J$93,MATCH("*"&amp;$E68&amp;"*",carbon!$A$14:$A$93,0),4), "NA"))</f>
        <v>21.31</v>
      </c>
      <c r="J68" s="66">
        <f>IF($F68 = "bare", 0, IFERROR(INDEX(carbon!$A$14:$J$93,MATCH("*"&amp;$E68&amp;"*",carbon!$A$14:$A$93,0),6), "NA"))</f>
        <v>321.11</v>
      </c>
      <c r="K68" s="66">
        <f>IF($F68 = "bare", 0, IFERROR(INDEX(carbon!$A$14:$J$93,MATCH("*"&amp;$E68&amp;"*",carbon!$A$14:$A$93,0),8), "NA"))</f>
        <v>1.528</v>
      </c>
    </row>
    <row r="69" spans="1:11" ht="15.75" x14ac:dyDescent="0.25">
      <c r="A69" s="30" t="s">
        <v>454</v>
      </c>
      <c r="B69" s="30" t="s">
        <v>453</v>
      </c>
      <c r="C69" s="30" t="s">
        <v>517</v>
      </c>
      <c r="D69" t="s">
        <v>252</v>
      </c>
      <c r="E69" t="str">
        <f t="shared" si="2"/>
        <v>NR_41_B</v>
      </c>
      <c r="F69" t="str">
        <f>INDEX(raw!$B$2:$I$100,MATCH(data!D69,raw!$B$2:$B$108, 0), MATCH(data!F$1,raw!$B$1:$I$1, 0))</f>
        <v>seagrass</v>
      </c>
      <c r="G69" s="53">
        <f>IFERROR(INDEX(raw!$J$2:$K$86,MATCH(data!D69,raw!$B$2:$B$100,0),MATCH(data!B69,raw!$J$1:$K$1,0)), "NA")</f>
        <v>573.5</v>
      </c>
      <c r="H69" s="66">
        <f>IF($F69 = "bare", 0, IFERROR(INDEX(carbon!$A$14:$J$93,MATCH("*"&amp;$E69&amp;"*",carbon!$A$14:$A$93,0),2), "NA"))</f>
        <v>78.98</v>
      </c>
      <c r="I69" s="66">
        <f>IF($F69 = "bare", 0, IFERROR(INDEX(carbon!$A$14:$J$93,MATCH("*"&amp;$E69&amp;"*",carbon!$A$14:$A$93,0),4), "NA"))</f>
        <v>19.09</v>
      </c>
      <c r="J69" s="66">
        <f>IF($F69 = "bare", 0, IFERROR(INDEX(carbon!$A$14:$J$93,MATCH("*"&amp;$E69&amp;"*",carbon!$A$14:$A$93,0),6), "NA"))</f>
        <v>226.35</v>
      </c>
      <c r="K69" s="66">
        <f>IF($F69 = "bare", 0, IFERROR(INDEX(carbon!$A$14:$J$93,MATCH("*"&amp;$E69&amp;"*",carbon!$A$14:$A$93,0),8), "NA"))</f>
        <v>0.87939999999999996</v>
      </c>
    </row>
    <row r="70" spans="1:11" ht="15.75" x14ac:dyDescent="0.25">
      <c r="A70" s="30" t="s">
        <v>454</v>
      </c>
      <c r="B70" s="30" t="s">
        <v>455</v>
      </c>
      <c r="C70" s="30" t="s">
        <v>517</v>
      </c>
      <c r="D70" t="s">
        <v>229</v>
      </c>
      <c r="E70" t="str">
        <f t="shared" si="2"/>
        <v>NR_42_A</v>
      </c>
      <c r="F70" t="str">
        <f>INDEX(raw!$B$2:$I$100,MATCH(data!D70,raw!$B$2:$B$108, 0), MATCH(data!F$1,raw!$B$1:$I$1, 0))</f>
        <v>seagrass</v>
      </c>
      <c r="G70" s="53">
        <f>IFERROR(INDEX(raw!$J$2:$K$86,MATCH(data!D70,raw!$B$2:$B$100,0),MATCH(data!B70,raw!$J$1:$K$1,0)), "NA")</f>
        <v>1891</v>
      </c>
      <c r="H70" s="66" t="str">
        <f>IF($F70 = "bare", 0, IFERROR(INDEX(carbon!$A$14:$J$93,MATCH("*"&amp;$E70&amp;"*",carbon!$A$14:$A$93,0),2), "NA"))</f>
        <v>NA</v>
      </c>
      <c r="I70" s="66" t="str">
        <f>IF($F70 = "bare", 0, IFERROR(INDEX(carbon!$A$14:$J$93,MATCH("*"&amp;$E70&amp;"*",carbon!$A$14:$A$93,0),4), "NA"))</f>
        <v>NA</v>
      </c>
      <c r="J70" s="66" t="str">
        <f>IF($F70 = "bare", 0, IFERROR(INDEX(carbon!$A$14:$J$93,MATCH("*"&amp;$E70&amp;"*",carbon!$A$14:$A$93,0),6), "NA"))</f>
        <v>NA</v>
      </c>
      <c r="K70" s="66" t="str">
        <f>IF($F70 = "bare", 0, IFERROR(INDEX(carbon!$A$14:$J$93,MATCH("*"&amp;$E70&amp;"*",carbon!$A$14:$A$93,0),8), "NA"))</f>
        <v>NA</v>
      </c>
    </row>
    <row r="71" spans="1:11" ht="15.75" x14ac:dyDescent="0.25">
      <c r="A71" s="30" t="s">
        <v>454</v>
      </c>
      <c r="B71" s="30" t="s">
        <v>453</v>
      </c>
      <c r="C71" s="30" t="s">
        <v>517</v>
      </c>
      <c r="D71" t="s">
        <v>229</v>
      </c>
      <c r="E71" t="str">
        <f t="shared" si="2"/>
        <v>NR_42_B</v>
      </c>
      <c r="F71" t="str">
        <f>INDEX(raw!$B$2:$I$100,MATCH(data!D71,raw!$B$2:$B$108, 0), MATCH(data!F$1,raw!$B$1:$I$1, 0))</f>
        <v>seagrass</v>
      </c>
      <c r="G71" s="53">
        <f>IFERROR(INDEX(raw!$J$2:$K$86,MATCH(data!D71,raw!$B$2:$B$100,0),MATCH(data!B71,raw!$J$1:$K$1,0)), "NA")</f>
        <v>891</v>
      </c>
      <c r="H71" s="66" t="str">
        <f>IF($F71 = "bare", 0, IFERROR(INDEX(carbon!$A$14:$J$93,MATCH("*"&amp;$E71&amp;"*",carbon!$A$14:$A$93,0),2), "NA"))</f>
        <v>NA</v>
      </c>
      <c r="I71" s="66" t="str">
        <f>IF($F71 = "bare", 0, IFERROR(INDEX(carbon!$A$14:$J$93,MATCH("*"&amp;$E71&amp;"*",carbon!$A$14:$A$93,0),4), "NA"))</f>
        <v>NA</v>
      </c>
      <c r="J71" s="66" t="str">
        <f>IF($F71 = "bare", 0, IFERROR(INDEX(carbon!$A$14:$J$93,MATCH("*"&amp;$E71&amp;"*",carbon!$A$14:$A$93,0),6), "NA"))</f>
        <v>NA</v>
      </c>
      <c r="K71" s="66" t="str">
        <f>IF($F71 = "bare", 0, IFERROR(INDEX(carbon!$A$14:$J$93,MATCH("*"&amp;$E71&amp;"*",carbon!$A$14:$A$93,0),8), "NA"))</f>
        <v>NA</v>
      </c>
    </row>
    <row r="72" spans="1:11" ht="15.75" x14ac:dyDescent="0.25">
      <c r="A72" s="30" t="s">
        <v>454</v>
      </c>
      <c r="B72" s="30" t="s">
        <v>455</v>
      </c>
      <c r="C72" s="30" t="s">
        <v>517</v>
      </c>
      <c r="D72" t="s">
        <v>204</v>
      </c>
      <c r="E72" t="str">
        <f t="shared" si="2"/>
        <v>NR_43_A</v>
      </c>
      <c r="F72" t="str">
        <f>INDEX(raw!$B$2:$I$100,MATCH(data!D72,raw!$B$2:$B$108, 0), MATCH(data!F$1,raw!$B$1:$I$1, 0))</f>
        <v>seagrass</v>
      </c>
      <c r="G72" s="53">
        <f>IFERROR(INDEX(raw!$J$2:$K$86,MATCH(data!D72,raw!$B$2:$B$100,0),MATCH(data!B72,raw!$J$1:$K$1,0)), "NA")</f>
        <v>750</v>
      </c>
      <c r="H72" s="66">
        <f>IF($F72 = "bare", 0, IFERROR(INDEX(carbon!$A$14:$J$93,MATCH("*"&amp;$E72&amp;"*",carbon!$A$14:$A$93,0),2), "NA"))</f>
        <v>76</v>
      </c>
      <c r="I72" s="66">
        <f>IF($F72 = "bare", 0, IFERROR(INDEX(carbon!$A$14:$J$93,MATCH("*"&amp;$E72&amp;"*",carbon!$A$14:$A$93,0),4), "NA"))</f>
        <v>22.26</v>
      </c>
      <c r="J72" s="66">
        <f>IF($F72 = "bare", 0, IFERROR(INDEX(carbon!$A$14:$J$93,MATCH("*"&amp;$E72&amp;"*",carbon!$A$14:$A$93,0),6), "NA"))</f>
        <v>270.07</v>
      </c>
      <c r="K72" s="66">
        <f>IF($F72 = "bare", 0, IFERROR(INDEX(carbon!$A$14:$J$93,MATCH("*"&amp;$E72&amp;"*",carbon!$A$14:$A$93,0),8), "NA"))</f>
        <v>2.4089999999999998</v>
      </c>
    </row>
    <row r="73" spans="1:11" ht="15.75" x14ac:dyDescent="0.25">
      <c r="A73" s="30" t="s">
        <v>454</v>
      </c>
      <c r="B73" s="30" t="s">
        <v>453</v>
      </c>
      <c r="C73" s="30" t="s">
        <v>517</v>
      </c>
      <c r="D73" t="s">
        <v>204</v>
      </c>
      <c r="E73" t="str">
        <f t="shared" si="2"/>
        <v>NR_43_B</v>
      </c>
      <c r="F73" t="str">
        <f>INDEX(raw!$B$2:$I$100,MATCH(data!D73,raw!$B$2:$B$108, 0), MATCH(data!F$1,raw!$B$1:$I$1, 0))</f>
        <v>seagrass</v>
      </c>
      <c r="G73" s="53">
        <f>IFERROR(INDEX(raw!$J$2:$K$86,MATCH(data!D73,raw!$B$2:$B$100,0),MATCH(data!B73,raw!$J$1:$K$1,0)), "NA")</f>
        <v>345</v>
      </c>
      <c r="H73" s="66">
        <f>IF($F73 = "bare", 0, IFERROR(INDEX(carbon!$A$14:$J$93,MATCH("*"&amp;$E73&amp;"*",carbon!$A$14:$A$93,0),2), "NA"))</f>
        <v>70.209999999999994</v>
      </c>
      <c r="I73" s="66">
        <f>IF($F73 = "bare", 0, IFERROR(INDEX(carbon!$A$14:$J$93,MATCH("*"&amp;$E73&amp;"*",carbon!$A$14:$A$93,0),4), "NA"))</f>
        <v>18.68</v>
      </c>
      <c r="J73" s="66">
        <f>IF($F73 = "bare", 0, IFERROR(INDEX(carbon!$A$14:$J$93,MATCH("*"&amp;$E73&amp;"*",carbon!$A$14:$A$93,0),6), "NA"))</f>
        <v>244.33</v>
      </c>
      <c r="K73" s="66">
        <f>IF($F73 = "bare", 0, IFERROR(INDEX(carbon!$A$14:$J$93,MATCH("*"&amp;$E73&amp;"*",carbon!$A$14:$A$93,0),8), "NA"))</f>
        <v>1.339</v>
      </c>
    </row>
    <row r="74" spans="1:11" ht="15.75" x14ac:dyDescent="0.25">
      <c r="A74" s="30" t="s">
        <v>454</v>
      </c>
      <c r="B74" s="30" t="s">
        <v>455</v>
      </c>
      <c r="C74" s="30" t="s">
        <v>517</v>
      </c>
      <c r="D74" t="s">
        <v>242</v>
      </c>
      <c r="E74" t="str">
        <f t="shared" si="2"/>
        <v>NR_44_A</v>
      </c>
      <c r="F74" t="str">
        <f>INDEX(raw!$B$2:$I$100,MATCH(data!D74,raw!$B$2:$B$108, 0), MATCH(data!F$1,raw!$B$1:$I$1, 0))</f>
        <v>bare</v>
      </c>
      <c r="G74" s="53">
        <f>IFERROR(INDEX(raw!$J$2:$K$86,MATCH(data!D74,raw!$B$2:$B$100,0),MATCH(data!B74,raw!$J$1:$K$1,0)), "NA")</f>
        <v>0</v>
      </c>
      <c r="H74" s="66">
        <f>IF($F74 = "bare", 0, IFERROR(INDEX(carbon!$A$14:$J$93,MATCH("*"&amp;$E74&amp;"*",carbon!$A$14:$A$93,0),2), "NA"))</f>
        <v>0</v>
      </c>
      <c r="I74" s="66">
        <f>IF($F74 = "bare", 0, IFERROR(INDEX(carbon!$A$14:$J$93,MATCH("*"&amp;$E74&amp;"*",carbon!$A$14:$A$93,0),4), "NA"))</f>
        <v>0</v>
      </c>
      <c r="J74" s="66">
        <f>IF($F74 = "bare", 0, IFERROR(INDEX(carbon!$A$14:$J$93,MATCH("*"&amp;$E74&amp;"*",carbon!$A$14:$A$93,0),6), "NA"))</f>
        <v>0</v>
      </c>
      <c r="K74" s="66">
        <f>IF($F74 = "bare", 0, IFERROR(INDEX(carbon!$A$14:$J$93,MATCH("*"&amp;$E74&amp;"*",carbon!$A$14:$A$93,0),8), "NA"))</f>
        <v>0</v>
      </c>
    </row>
    <row r="75" spans="1:11" ht="15.75" x14ac:dyDescent="0.25">
      <c r="A75" s="30" t="s">
        <v>454</v>
      </c>
      <c r="B75" s="30" t="s">
        <v>453</v>
      </c>
      <c r="C75" s="30" t="s">
        <v>517</v>
      </c>
      <c r="D75" t="s">
        <v>242</v>
      </c>
      <c r="E75" t="str">
        <f t="shared" si="2"/>
        <v>NR_44_B</v>
      </c>
      <c r="F75" t="str">
        <f>INDEX(raw!$B$2:$I$100,MATCH(data!D75,raw!$B$2:$B$108, 0), MATCH(data!F$1,raw!$B$1:$I$1, 0))</f>
        <v>bare</v>
      </c>
      <c r="G75" s="53">
        <f>IFERROR(INDEX(raw!$J$2:$K$86,MATCH(data!D75,raw!$B$2:$B$100,0),MATCH(data!B75,raw!$J$1:$K$1,0)), "NA")</f>
        <v>125</v>
      </c>
      <c r="H75" s="66">
        <f>IF($F75 = "bare", 0, IFERROR(INDEX(carbon!$A$14:$J$93,MATCH("*"&amp;$E75&amp;"*",carbon!$A$14:$A$93,0),2), "NA"))</f>
        <v>0</v>
      </c>
      <c r="I75" s="66">
        <f>IF($F75 = "bare", 0, IFERROR(INDEX(carbon!$A$14:$J$93,MATCH("*"&amp;$E75&amp;"*",carbon!$A$14:$A$93,0),4), "NA"))</f>
        <v>0</v>
      </c>
      <c r="J75" s="66">
        <f>IF($F75 = "bare", 0, IFERROR(INDEX(carbon!$A$14:$J$93,MATCH("*"&amp;$E75&amp;"*",carbon!$A$14:$A$93,0),6), "NA"))</f>
        <v>0</v>
      </c>
      <c r="K75" s="66">
        <f>IF($F75 = "bare", 0, IFERROR(INDEX(carbon!$A$14:$J$93,MATCH("*"&amp;$E75&amp;"*",carbon!$A$14:$A$93,0),8), "NA"))</f>
        <v>0</v>
      </c>
    </row>
    <row r="76" spans="1:11" ht="15.75" x14ac:dyDescent="0.25">
      <c r="A76" s="30" t="s">
        <v>454</v>
      </c>
      <c r="B76" s="30" t="s">
        <v>455</v>
      </c>
      <c r="C76" s="30" t="s">
        <v>517</v>
      </c>
      <c r="D76" t="s">
        <v>182</v>
      </c>
      <c r="E76" t="str">
        <f t="shared" si="2"/>
        <v>NR_45_A</v>
      </c>
      <c r="F76" t="str">
        <f>INDEX(raw!$B$2:$I$100,MATCH(data!D76,raw!$B$2:$B$108, 0), MATCH(data!F$1,raw!$B$1:$I$1, 0))</f>
        <v>seagrass</v>
      </c>
      <c r="G76" s="53">
        <f>IFERROR(INDEX(raw!$J$2:$K$86,MATCH(data!D76,raw!$B$2:$B$100,0),MATCH(data!B76,raw!$J$1:$K$1,0)), "NA")</f>
        <v>1230</v>
      </c>
      <c r="H76" s="66" t="str">
        <f>IF($F76 = "bare", 0, IFERROR(INDEX(carbon!$A$14:$J$93,MATCH("*"&amp;$E76&amp;"*",carbon!$A$14:$A$93,0),2), "NA"))</f>
        <v>NA</v>
      </c>
      <c r="I76" s="66" t="str">
        <f>IF($F76 = "bare", 0, IFERROR(INDEX(carbon!$A$14:$J$93,MATCH("*"&amp;$E76&amp;"*",carbon!$A$14:$A$93,0),4), "NA"))</f>
        <v>NA</v>
      </c>
      <c r="J76" s="66" t="str">
        <f>IF($F76 = "bare", 0, IFERROR(INDEX(carbon!$A$14:$J$93,MATCH("*"&amp;$E76&amp;"*",carbon!$A$14:$A$93,0),6), "NA"))</f>
        <v>NA</v>
      </c>
      <c r="K76" s="66" t="str">
        <f>IF($F76 = "bare", 0, IFERROR(INDEX(carbon!$A$14:$J$93,MATCH("*"&amp;$E76&amp;"*",carbon!$A$14:$A$93,0),8), "NA"))</f>
        <v>NA</v>
      </c>
    </row>
    <row r="77" spans="1:11" ht="15.75" x14ac:dyDescent="0.25">
      <c r="A77" s="30" t="s">
        <v>454</v>
      </c>
      <c r="B77" s="30" t="s">
        <v>453</v>
      </c>
      <c r="C77" s="30" t="s">
        <v>517</v>
      </c>
      <c r="D77" t="s">
        <v>182</v>
      </c>
      <c r="E77" t="str">
        <f t="shared" si="2"/>
        <v>NR_45_B</v>
      </c>
      <c r="F77" t="str">
        <f>INDEX(raw!$B$2:$I$100,MATCH(data!D77,raw!$B$2:$B$108, 0), MATCH(data!F$1,raw!$B$1:$I$1, 0))</f>
        <v>seagrass</v>
      </c>
      <c r="G77" s="53">
        <f>IFERROR(INDEX(raw!$J$2:$K$86,MATCH(data!D77,raw!$B$2:$B$100,0),MATCH(data!B77,raw!$J$1:$K$1,0)), "NA")</f>
        <v>990</v>
      </c>
      <c r="H77" s="66" t="str">
        <f>IF($F77 = "bare", 0, IFERROR(INDEX(carbon!$A$14:$J$93,MATCH("*"&amp;$E77&amp;"*",carbon!$A$14:$A$93,0),2), "NA"))</f>
        <v>NA</v>
      </c>
      <c r="I77" s="66" t="str">
        <f>IF($F77 = "bare", 0, IFERROR(INDEX(carbon!$A$14:$J$93,MATCH("*"&amp;$E77&amp;"*",carbon!$A$14:$A$93,0),4), "NA"))</f>
        <v>NA</v>
      </c>
      <c r="J77" s="66" t="str">
        <f>IF($F77 = "bare", 0, IFERROR(INDEX(carbon!$A$14:$J$93,MATCH("*"&amp;$E77&amp;"*",carbon!$A$14:$A$93,0),6), "NA"))</f>
        <v>NA</v>
      </c>
      <c r="K77" s="66" t="str">
        <f>IF($F77 = "bare", 0, IFERROR(INDEX(carbon!$A$14:$J$93,MATCH("*"&amp;$E77&amp;"*",carbon!$A$14:$A$93,0),8), "NA"))</f>
        <v>NA</v>
      </c>
    </row>
    <row r="78" spans="1:11" ht="15.75" x14ac:dyDescent="0.25">
      <c r="A78" s="30" t="s">
        <v>454</v>
      </c>
      <c r="B78" s="30" t="s">
        <v>455</v>
      </c>
      <c r="C78" s="30" t="s">
        <v>517</v>
      </c>
      <c r="D78" t="s">
        <v>186</v>
      </c>
      <c r="E78" t="str">
        <f t="shared" si="2"/>
        <v>NR_46_A</v>
      </c>
      <c r="F78" t="str">
        <f>INDEX(raw!$B$2:$I$100,MATCH(data!D78,raw!$B$2:$B$108, 0), MATCH(data!F$1,raw!$B$1:$I$1, 0))</f>
        <v>seagrass</v>
      </c>
      <c r="G78" s="53">
        <f>IFERROR(INDEX(raw!$J$2:$K$86,MATCH(data!D78,raw!$B$2:$B$100,0),MATCH(data!B78,raw!$J$1:$K$1,0)), "NA")</f>
        <v>1076</v>
      </c>
      <c r="H78" s="66" t="str">
        <f>IF($F78 = "bare", 0, IFERROR(INDEX(carbon!$A$14:$J$93,MATCH("*"&amp;$E78&amp;"*",carbon!$A$14:$A$93,0),2), "NA"))</f>
        <v>NA</v>
      </c>
      <c r="I78" s="66" t="str">
        <f>IF($F78 = "bare", 0, IFERROR(INDEX(carbon!$A$14:$J$93,MATCH("*"&amp;$E78&amp;"*",carbon!$A$14:$A$93,0),4), "NA"))</f>
        <v>NA</v>
      </c>
      <c r="J78" s="66" t="str">
        <f>IF($F78 = "bare", 0, IFERROR(INDEX(carbon!$A$14:$J$93,MATCH("*"&amp;$E78&amp;"*",carbon!$A$14:$A$93,0),6), "NA"))</f>
        <v>NA</v>
      </c>
      <c r="K78" s="66" t="str">
        <f>IF($F78 = "bare", 0, IFERROR(INDEX(carbon!$A$14:$J$93,MATCH("*"&amp;$E78&amp;"*",carbon!$A$14:$A$93,0),8), "NA"))</f>
        <v>NA</v>
      </c>
    </row>
    <row r="79" spans="1:11" ht="15.75" x14ac:dyDescent="0.25">
      <c r="A79" s="30" t="s">
        <v>454</v>
      </c>
      <c r="B79" s="30" t="s">
        <v>453</v>
      </c>
      <c r="C79" s="30" t="s">
        <v>517</v>
      </c>
      <c r="D79" t="s">
        <v>186</v>
      </c>
      <c r="E79" t="str">
        <f t="shared" si="2"/>
        <v>NR_46_B</v>
      </c>
      <c r="F79" t="str">
        <f>INDEX(raw!$B$2:$I$100,MATCH(data!D79,raw!$B$2:$B$108, 0), MATCH(data!F$1,raw!$B$1:$I$1, 0))</f>
        <v>seagrass</v>
      </c>
      <c r="G79" s="53">
        <f>IFERROR(INDEX(raw!$J$2:$K$86,MATCH(data!D79,raw!$B$2:$B$100,0),MATCH(data!B79,raw!$J$1:$K$1,0)), "NA")</f>
        <v>803</v>
      </c>
      <c r="H79" s="66" t="str">
        <f>IF($F79 = "bare", 0, IFERROR(INDEX(carbon!$A$14:$J$93,MATCH("*"&amp;$E79&amp;"*",carbon!$A$14:$A$93,0),2), "NA"))</f>
        <v>NA</v>
      </c>
      <c r="I79" s="66" t="str">
        <f>IF($F79 = "bare", 0, IFERROR(INDEX(carbon!$A$14:$J$93,MATCH("*"&amp;$E79&amp;"*",carbon!$A$14:$A$93,0),4), "NA"))</f>
        <v>NA</v>
      </c>
      <c r="J79" s="66" t="str">
        <f>IF($F79 = "bare", 0, IFERROR(INDEX(carbon!$A$14:$J$93,MATCH("*"&amp;$E79&amp;"*",carbon!$A$14:$A$93,0),6), "NA"))</f>
        <v>NA</v>
      </c>
      <c r="K79" s="66" t="str">
        <f>IF($F79 = "bare", 0, IFERROR(INDEX(carbon!$A$14:$J$93,MATCH("*"&amp;$E79&amp;"*",carbon!$A$14:$A$93,0),8), "NA"))</f>
        <v>NA</v>
      </c>
    </row>
    <row r="80" spans="1:11" ht="15.75" x14ac:dyDescent="0.25">
      <c r="A80" s="30" t="s">
        <v>454</v>
      </c>
      <c r="B80" s="30" t="s">
        <v>455</v>
      </c>
      <c r="C80" s="30" t="s">
        <v>517</v>
      </c>
      <c r="D80" t="s">
        <v>190</v>
      </c>
      <c r="E80" t="str">
        <f t="shared" si="2"/>
        <v>NR_47_A</v>
      </c>
      <c r="F80" t="str">
        <f>INDEX(raw!$B$2:$I$100,MATCH(data!D80,raw!$B$2:$B$108, 0), MATCH(data!F$1,raw!$B$1:$I$1, 0))</f>
        <v>seagrass</v>
      </c>
      <c r="G80" s="53">
        <f>IFERROR(INDEX(raw!$J$2:$K$86,MATCH(data!D80,raw!$B$2:$B$100,0),MATCH(data!B80,raw!$J$1:$K$1,0)), "NA")</f>
        <v>718</v>
      </c>
      <c r="H80" s="66" t="str">
        <f>IF($F80 = "bare", 0, IFERROR(INDEX(carbon!$A$14:$J$93,MATCH("*"&amp;$E80&amp;"*",carbon!$A$14:$A$93,0),2), "NA"))</f>
        <v>NA</v>
      </c>
      <c r="I80" s="66" t="str">
        <f>IF($F80 = "bare", 0, IFERROR(INDEX(carbon!$A$14:$J$93,MATCH("*"&amp;$E80&amp;"*",carbon!$A$14:$A$93,0),4), "NA"))</f>
        <v>NA</v>
      </c>
      <c r="J80" s="66" t="str">
        <f>IF($F80 = "bare", 0, IFERROR(INDEX(carbon!$A$14:$J$93,MATCH("*"&amp;$E80&amp;"*",carbon!$A$14:$A$93,0),6), "NA"))</f>
        <v>NA</v>
      </c>
      <c r="K80" s="66" t="str">
        <f>IF($F80 = "bare", 0, IFERROR(INDEX(carbon!$A$14:$J$93,MATCH("*"&amp;$E80&amp;"*",carbon!$A$14:$A$93,0),8), "NA"))</f>
        <v>NA</v>
      </c>
    </row>
    <row r="81" spans="1:11" ht="15.75" x14ac:dyDescent="0.25">
      <c r="A81" s="30" t="s">
        <v>454</v>
      </c>
      <c r="B81" s="30" t="s">
        <v>453</v>
      </c>
      <c r="C81" s="30" t="s">
        <v>517</v>
      </c>
      <c r="D81" t="s">
        <v>190</v>
      </c>
      <c r="E81" t="str">
        <f t="shared" si="2"/>
        <v>NR_47_B</v>
      </c>
      <c r="F81" t="str">
        <f>INDEX(raw!$B$2:$I$100,MATCH(data!D81,raw!$B$2:$B$108, 0), MATCH(data!F$1,raw!$B$1:$I$1, 0))</f>
        <v>seagrass</v>
      </c>
      <c r="G81" s="53">
        <f>IFERROR(INDEX(raw!$J$2:$K$86,MATCH(data!D81,raw!$B$2:$B$100,0),MATCH(data!B81,raw!$J$1:$K$1,0)), "NA")</f>
        <v>512</v>
      </c>
      <c r="H81" s="66" t="str">
        <f>IF($F81 = "bare", 0, IFERROR(INDEX(carbon!$A$14:$J$93,MATCH("*"&amp;$E81&amp;"*",carbon!$A$14:$A$93,0),2), "NA"))</f>
        <v>NA</v>
      </c>
      <c r="I81" s="66" t="str">
        <f>IF($F81 = "bare", 0, IFERROR(INDEX(carbon!$A$14:$J$93,MATCH("*"&amp;$E81&amp;"*",carbon!$A$14:$A$93,0),4), "NA"))</f>
        <v>NA</v>
      </c>
      <c r="J81" s="66" t="str">
        <f>IF($F81 = "bare", 0, IFERROR(INDEX(carbon!$A$14:$J$93,MATCH("*"&amp;$E81&amp;"*",carbon!$A$14:$A$93,0),6), "NA"))</f>
        <v>NA</v>
      </c>
      <c r="K81" s="66" t="str">
        <f>IF($F81 = "bare", 0, IFERROR(INDEX(carbon!$A$14:$J$93,MATCH("*"&amp;$E81&amp;"*",carbon!$A$14:$A$93,0),8), "NA"))</f>
        <v>NA</v>
      </c>
    </row>
    <row r="82" spans="1:11" ht="15.75" x14ac:dyDescent="0.25">
      <c r="A82" s="30" t="s">
        <v>454</v>
      </c>
      <c r="B82" s="30" t="s">
        <v>455</v>
      </c>
      <c r="C82" s="30" t="s">
        <v>517</v>
      </c>
      <c r="D82" t="s">
        <v>175</v>
      </c>
      <c r="E82" t="str">
        <f t="shared" si="2"/>
        <v>NR_48_A</v>
      </c>
      <c r="F82" t="str">
        <f>INDEX(raw!$B$2:$I$100,MATCH(data!D82,raw!$B$2:$B$108, 0), MATCH(data!F$1,raw!$B$1:$I$1, 0))</f>
        <v>seagrass</v>
      </c>
      <c r="G82" s="53">
        <f>IFERROR(INDEX(raw!$J$2:$K$86,MATCH(data!D82,raw!$B$2:$B$100,0),MATCH(data!B82,raw!$J$1:$K$1,0)), "NA")</f>
        <v>3113</v>
      </c>
      <c r="H82" s="66" t="str">
        <f>IF($F82 = "bare", 0, IFERROR(INDEX(carbon!$A$14:$J$93,MATCH("*"&amp;$E82&amp;"*",carbon!$A$14:$A$93,0),2), "NA"))</f>
        <v>NA</v>
      </c>
      <c r="I82" s="66" t="str">
        <f>IF($F82 = "bare", 0, IFERROR(INDEX(carbon!$A$14:$J$93,MATCH("*"&amp;$E82&amp;"*",carbon!$A$14:$A$93,0),4), "NA"))</f>
        <v>NA</v>
      </c>
      <c r="J82" s="66" t="str">
        <f>IF($F82 = "bare", 0, IFERROR(INDEX(carbon!$A$14:$J$93,MATCH("*"&amp;$E82&amp;"*",carbon!$A$14:$A$93,0),6), "NA"))</f>
        <v>NA</v>
      </c>
      <c r="K82" s="66" t="str">
        <f>IF($F82 = "bare", 0, IFERROR(INDEX(carbon!$A$14:$J$93,MATCH("*"&amp;$E82&amp;"*",carbon!$A$14:$A$93,0),8), "NA"))</f>
        <v>NA</v>
      </c>
    </row>
    <row r="83" spans="1:11" ht="15.75" x14ac:dyDescent="0.25">
      <c r="A83" s="30" t="s">
        <v>454</v>
      </c>
      <c r="B83" s="30" t="s">
        <v>453</v>
      </c>
      <c r="C83" s="30" t="s">
        <v>517</v>
      </c>
      <c r="D83" t="s">
        <v>175</v>
      </c>
      <c r="E83" t="str">
        <f t="shared" si="2"/>
        <v>NR_48_B</v>
      </c>
      <c r="F83" t="str">
        <f>INDEX(raw!$B$2:$I$100,MATCH(data!D83,raw!$B$2:$B$108, 0), MATCH(data!F$1,raw!$B$1:$I$1, 0))</f>
        <v>seagrass</v>
      </c>
      <c r="G83" s="53">
        <f>IFERROR(INDEX(raw!$J$2:$K$86,MATCH(data!D83,raw!$B$2:$B$100,0),MATCH(data!B83,raw!$J$1:$K$1,0)), "NA")</f>
        <v>899</v>
      </c>
      <c r="H83" s="66" t="str">
        <f>IF($F83 = "bare", 0, IFERROR(INDEX(carbon!$A$14:$J$93,MATCH("*"&amp;$E83&amp;"*",carbon!$A$14:$A$93,0),2), "NA"))</f>
        <v>NA</v>
      </c>
      <c r="I83" s="66" t="str">
        <f>IF($F83 = "bare", 0, IFERROR(INDEX(carbon!$A$14:$J$93,MATCH("*"&amp;$E83&amp;"*",carbon!$A$14:$A$93,0),4), "NA"))</f>
        <v>NA</v>
      </c>
      <c r="J83" s="66" t="str">
        <f>IF($F83 = "bare", 0, IFERROR(INDEX(carbon!$A$14:$J$93,MATCH("*"&amp;$E83&amp;"*",carbon!$A$14:$A$93,0),6), "NA"))</f>
        <v>NA</v>
      </c>
      <c r="K83" s="66" t="str">
        <f>IF($F83 = "bare", 0, IFERROR(INDEX(carbon!$A$14:$J$93,MATCH("*"&amp;$E83&amp;"*",carbon!$A$14:$A$93,0),8), "NA"))</f>
        <v>NA</v>
      </c>
    </row>
    <row r="84" spans="1:11" ht="15.75" x14ac:dyDescent="0.25">
      <c r="A84" s="30" t="s">
        <v>454</v>
      </c>
      <c r="B84" s="30" t="s">
        <v>455</v>
      </c>
      <c r="C84" s="30" t="s">
        <v>517</v>
      </c>
      <c r="D84" t="s">
        <v>227</v>
      </c>
      <c r="E84" t="str">
        <f t="shared" si="2"/>
        <v>NR_49_A</v>
      </c>
      <c r="F84" t="str">
        <f>INDEX(raw!$B$2:$I$100,MATCH(data!D84,raw!$B$2:$B$108, 0), MATCH(data!F$1,raw!$B$1:$I$1, 0))</f>
        <v>seagrass</v>
      </c>
      <c r="G84" s="53">
        <f>IFERROR(INDEX(raw!$J$2:$K$86,MATCH(data!D84,raw!$B$2:$B$100,0),MATCH(data!B84,raw!$J$1:$K$1,0)), "NA")</f>
        <v>2564</v>
      </c>
      <c r="H84" s="66">
        <f>IF($F84 = "bare", 0, IFERROR(INDEX(carbon!$A$14:$J$93,MATCH("*"&amp;$E84&amp;"*",carbon!$A$14:$A$93,0),2), "NA"))</f>
        <v>78.48</v>
      </c>
      <c r="I84" s="66">
        <f>IF($F84 = "bare", 0, IFERROR(INDEX(carbon!$A$14:$J$93,MATCH("*"&amp;$E84&amp;"*",carbon!$A$14:$A$93,0),4), "NA"))</f>
        <v>22.57</v>
      </c>
      <c r="J84" s="66">
        <f>IF($F84 = "bare", 0, IFERROR(INDEX(carbon!$A$14:$J$93,MATCH("*"&amp;$E84&amp;"*",carbon!$A$14:$A$93,0),6), "NA"))</f>
        <v>282.14999999999998</v>
      </c>
      <c r="K84" s="66">
        <f>IF($F84 = "bare", 0, IFERROR(INDEX(carbon!$A$14:$J$93,MATCH("*"&amp;$E84&amp;"*",carbon!$A$14:$A$93,0),8), "NA"))</f>
        <v>1.135</v>
      </c>
    </row>
    <row r="85" spans="1:11" ht="15.75" x14ac:dyDescent="0.25">
      <c r="A85" s="30" t="s">
        <v>454</v>
      </c>
      <c r="B85" s="30" t="s">
        <v>453</v>
      </c>
      <c r="C85" s="30" t="s">
        <v>517</v>
      </c>
      <c r="D85" t="s">
        <v>227</v>
      </c>
      <c r="E85" t="str">
        <f t="shared" si="2"/>
        <v>NR_49_B</v>
      </c>
      <c r="F85" t="str">
        <f>INDEX(raw!$B$2:$I$100,MATCH(data!D85,raw!$B$2:$B$108, 0), MATCH(data!F$1,raw!$B$1:$I$1, 0))</f>
        <v>seagrass</v>
      </c>
      <c r="G85" s="53">
        <f>IFERROR(INDEX(raw!$J$2:$K$86,MATCH(data!D85,raw!$B$2:$B$100,0),MATCH(data!B85,raw!$J$1:$K$1,0)), "NA")</f>
        <v>2102</v>
      </c>
      <c r="H85" s="66">
        <f>IF($F85 = "bare", 0, IFERROR(INDEX(carbon!$A$14:$J$93,MATCH("*"&amp;$E85&amp;"*",carbon!$A$14:$A$93,0),2), "NA"))</f>
        <v>75.290000000000006</v>
      </c>
      <c r="I85" s="66">
        <f>IF($F85 = "bare", 0, IFERROR(INDEX(carbon!$A$14:$J$93,MATCH("*"&amp;$E85&amp;"*",carbon!$A$14:$A$93,0),4), "NA"))</f>
        <v>21.18</v>
      </c>
      <c r="J85" s="66">
        <f>IF($F85 = "bare", 0, IFERROR(INDEX(carbon!$A$14:$J$93,MATCH("*"&amp;$E85&amp;"*",carbon!$A$14:$A$93,0),6), "NA"))</f>
        <v>200.61</v>
      </c>
      <c r="K85" s="66">
        <f>IF($F85 = "bare", 0, IFERROR(INDEX(carbon!$A$14:$J$93,MATCH("*"&amp;$E85&amp;"*",carbon!$A$14:$A$93,0),8), "NA"))</f>
        <v>0.9385</v>
      </c>
    </row>
    <row r="86" spans="1:11" ht="15.75" x14ac:dyDescent="0.25">
      <c r="A86" s="30" t="s">
        <v>454</v>
      </c>
      <c r="B86" s="30" t="s">
        <v>455</v>
      </c>
      <c r="C86" s="30" t="s">
        <v>517</v>
      </c>
      <c r="D86" t="s">
        <v>288</v>
      </c>
      <c r="E86" t="str">
        <f t="shared" si="2"/>
        <v>NR_50_A</v>
      </c>
      <c r="F86" t="str">
        <f>INDEX(raw!$B$2:$I$100,MATCH(data!D86,raw!$B$2:$B$108, 0), MATCH(data!F$1,raw!$B$1:$I$1, 0))</f>
        <v>marsh</v>
      </c>
      <c r="G86" s="53" t="str">
        <f>IFERROR(INDEX(raw!$J$2:$K$86,MATCH(data!D86,raw!$B$2:$B$100,0),MATCH(data!B86,raw!$J$1:$K$1,0)), "NA")</f>
        <v>NA</v>
      </c>
      <c r="H86" s="66" t="str">
        <f>IF($F86 = "bare", 0, IFERROR(INDEX(carbon!$A$14:$J$93,MATCH("*"&amp;$E86&amp;"*",carbon!$A$14:$A$93,0),2), "NA"))</f>
        <v>NA</v>
      </c>
      <c r="I86" s="66" t="str">
        <f>IF($F86 = "bare", 0, IFERROR(INDEX(carbon!$A$14:$J$93,MATCH("*"&amp;$E86&amp;"*",carbon!$A$14:$A$93,0),4), "NA"))</f>
        <v>NA</v>
      </c>
      <c r="J86" s="66" t="str">
        <f>IF($F86 = "bare", 0, IFERROR(INDEX(carbon!$A$14:$J$93,MATCH("*"&amp;$E86&amp;"*",carbon!$A$14:$A$93,0),6), "NA"))</f>
        <v>NA</v>
      </c>
      <c r="K86" s="66" t="str">
        <f>IF($F86 = "bare", 0, IFERROR(INDEX(carbon!$A$14:$J$93,MATCH("*"&amp;$E86&amp;"*",carbon!$A$14:$A$93,0),8), "NA"))</f>
        <v>NA</v>
      </c>
    </row>
    <row r="87" spans="1:11" ht="15.75" x14ac:dyDescent="0.25">
      <c r="A87" s="30" t="s">
        <v>454</v>
      </c>
      <c r="B87" s="30" t="s">
        <v>453</v>
      </c>
      <c r="C87" s="30" t="s">
        <v>517</v>
      </c>
      <c r="D87" t="s">
        <v>288</v>
      </c>
      <c r="E87" t="str">
        <f t="shared" si="2"/>
        <v>NR_50_B</v>
      </c>
      <c r="F87" t="str">
        <f>INDEX(raw!$B$2:$I$100,MATCH(data!D87,raw!$B$2:$B$108, 0), MATCH(data!F$1,raw!$B$1:$I$1, 0))</f>
        <v>marsh</v>
      </c>
      <c r="G87" s="53" t="str">
        <f>IFERROR(INDEX(raw!$J$2:$K$86,MATCH(data!D87,raw!$B$2:$B$100,0),MATCH(data!B87,raw!$J$1:$K$1,0)), "NA")</f>
        <v>NA</v>
      </c>
      <c r="H87" s="66" t="str">
        <f>IF($F87 = "bare", 0, IFERROR(INDEX(carbon!$A$14:$J$93,MATCH("*"&amp;$E87&amp;"*",carbon!$A$14:$A$93,0),2), "NA"))</f>
        <v>NA</v>
      </c>
      <c r="I87" s="66" t="str">
        <f>IF($F87 = "bare", 0, IFERROR(INDEX(carbon!$A$14:$J$93,MATCH("*"&amp;$E87&amp;"*",carbon!$A$14:$A$93,0),4), "NA"))</f>
        <v>NA</v>
      </c>
      <c r="J87" s="66" t="str">
        <f>IF($F87 = "bare", 0, IFERROR(INDEX(carbon!$A$14:$J$93,MATCH("*"&amp;$E87&amp;"*",carbon!$A$14:$A$93,0),6), "NA"))</f>
        <v>NA</v>
      </c>
      <c r="K87" s="66" t="str">
        <f>IF($F87 = "bare", 0, IFERROR(INDEX(carbon!$A$14:$J$93,MATCH("*"&amp;$E87&amp;"*",carbon!$A$14:$A$93,0),8), "NA"))</f>
        <v>NA</v>
      </c>
    </row>
    <row r="88" spans="1:11" ht="15.75" x14ac:dyDescent="0.25">
      <c r="A88" s="30" t="s">
        <v>454</v>
      </c>
      <c r="B88" s="30" t="s">
        <v>455</v>
      </c>
      <c r="C88" s="30" t="s">
        <v>517</v>
      </c>
      <c r="D88" t="s">
        <v>172</v>
      </c>
      <c r="E88" t="str">
        <f t="shared" si="2"/>
        <v>NR_51_A</v>
      </c>
      <c r="F88" t="str">
        <f>INDEX(raw!$B$2:$I$100,MATCH(data!D88,raw!$B$2:$B$108, 0), MATCH(data!F$1,raw!$B$1:$I$1, 0))</f>
        <v>seagrass</v>
      </c>
      <c r="G88" s="53">
        <f>IFERROR(INDEX(raw!$J$2:$K$86,MATCH(data!D88,raw!$B$2:$B$100,0),MATCH(data!B88,raw!$J$1:$K$1,0)), "NA")</f>
        <v>1780</v>
      </c>
      <c r="H88" s="66">
        <f>IF($F88 = "bare", 0, IFERROR(INDEX(carbon!$A$14:$J$93,MATCH("*"&amp;$E88&amp;"*",carbon!$A$14:$A$93,0),2), "NA"))</f>
        <v>73.34</v>
      </c>
      <c r="I88" s="66">
        <f>IF($F88 = "bare", 0, IFERROR(INDEX(carbon!$A$14:$J$93,MATCH("*"&amp;$E88&amp;"*",carbon!$A$14:$A$93,0),4), "NA"))</f>
        <v>21.97</v>
      </c>
      <c r="J88" s="66">
        <f>IF($F88 = "bare", 0, IFERROR(INDEX(carbon!$A$14:$J$93,MATCH("*"&amp;$E88&amp;"*",carbon!$A$14:$A$93,0),6), "NA"))</f>
        <v>205.03</v>
      </c>
      <c r="K88" s="66">
        <f>IF($F88 = "bare", 0, IFERROR(INDEX(carbon!$A$14:$J$93,MATCH("*"&amp;$E88&amp;"*",carbon!$A$14:$A$93,0),8), "NA"))</f>
        <v>1.839</v>
      </c>
    </row>
    <row r="89" spans="1:11" ht="15.75" x14ac:dyDescent="0.25">
      <c r="A89" s="30" t="s">
        <v>454</v>
      </c>
      <c r="B89" s="30" t="s">
        <v>453</v>
      </c>
      <c r="C89" s="30" t="s">
        <v>517</v>
      </c>
      <c r="D89" t="s">
        <v>172</v>
      </c>
      <c r="E89" t="str">
        <f t="shared" si="2"/>
        <v>NR_51_B</v>
      </c>
      <c r="F89" t="str">
        <f>INDEX(raw!$B$2:$I$100,MATCH(data!D89,raw!$B$2:$B$108, 0), MATCH(data!F$1,raw!$B$1:$I$1, 0))</f>
        <v>seagrass</v>
      </c>
      <c r="G89" s="53">
        <f>IFERROR(INDEX(raw!$J$2:$K$86,MATCH(data!D89,raw!$B$2:$B$100,0),MATCH(data!B89,raw!$J$1:$K$1,0)), "NA")</f>
        <v>1728</v>
      </c>
      <c r="H89" s="66">
        <f>IF($F89 = "bare", 0, IFERROR(INDEX(carbon!$A$14:$J$93,MATCH("*"&amp;$E89&amp;"*",carbon!$A$14:$A$93,0),2), "NA"))</f>
        <v>72.7</v>
      </c>
      <c r="I89" s="66">
        <f>IF($F89 = "bare", 0, IFERROR(INDEX(carbon!$A$14:$J$93,MATCH("*"&amp;$E89&amp;"*",carbon!$A$14:$A$93,0),4), "NA"))</f>
        <v>19.46</v>
      </c>
      <c r="J89" s="66">
        <f>IF($F89 = "bare", 0, IFERROR(INDEX(carbon!$A$14:$J$93,MATCH("*"&amp;$E89&amp;"*",carbon!$A$14:$A$93,0),6), "NA"))</f>
        <v>158.75</v>
      </c>
      <c r="K89" s="66">
        <f>IF($F89 = "bare", 0, IFERROR(INDEX(carbon!$A$14:$J$93,MATCH("*"&amp;$E89&amp;"*",carbon!$A$14:$A$93,0),8), "NA"))</f>
        <v>0.66890000000000005</v>
      </c>
    </row>
    <row r="90" spans="1:11" ht="15.75" x14ac:dyDescent="0.25">
      <c r="A90" s="30" t="s">
        <v>454</v>
      </c>
      <c r="B90" s="30" t="s">
        <v>455</v>
      </c>
      <c r="C90" s="30" t="s">
        <v>517</v>
      </c>
      <c r="D90" t="s">
        <v>221</v>
      </c>
      <c r="E90" t="str">
        <f t="shared" si="2"/>
        <v>NR_52_A</v>
      </c>
      <c r="F90" t="str">
        <f>INDEX(raw!$B$2:$I$100,MATCH(data!D90,raw!$B$2:$B$108, 0), MATCH(data!F$1,raw!$B$1:$I$1, 0))</f>
        <v>seagrass</v>
      </c>
      <c r="G90" s="53">
        <f>IFERROR(INDEX(raw!$J$2:$K$86,MATCH(data!D90,raw!$B$2:$B$100,0),MATCH(data!B90,raw!$J$1:$K$1,0)), "NA")</f>
        <v>2650</v>
      </c>
      <c r="H90" s="66">
        <f>IF($F90 = "bare", 0, IFERROR(INDEX(carbon!$A$14:$J$93,MATCH("*"&amp;$E90&amp;"*",carbon!$A$14:$A$93,0),2), "NA"))</f>
        <v>71.319999999999993</v>
      </c>
      <c r="I90" s="66">
        <f>IF($F90 = "bare", 0, IFERROR(INDEX(carbon!$A$14:$J$93,MATCH("*"&amp;$E90&amp;"*",carbon!$A$14:$A$93,0),4), "NA"))</f>
        <v>20.49</v>
      </c>
      <c r="J90" s="66">
        <f>IF($F90 = "bare", 0, IFERROR(INDEX(carbon!$A$14:$J$93,MATCH("*"&amp;$E90&amp;"*",carbon!$A$14:$A$93,0),6), "NA"))</f>
        <v>251.3</v>
      </c>
      <c r="K90" s="66">
        <f>IF($F90 = "bare", 0, IFERROR(INDEX(carbon!$A$14:$J$93,MATCH("*"&amp;$E90&amp;"*",carbon!$A$14:$A$93,0),8), "NA"))</f>
        <v>1.516</v>
      </c>
    </row>
    <row r="91" spans="1:11" ht="15.75" x14ac:dyDescent="0.25">
      <c r="A91" s="30" t="s">
        <v>454</v>
      </c>
      <c r="B91" s="30" t="s">
        <v>453</v>
      </c>
      <c r="C91" s="30" t="s">
        <v>517</v>
      </c>
      <c r="D91" t="s">
        <v>221</v>
      </c>
      <c r="E91" t="str">
        <f t="shared" si="2"/>
        <v>NR_52_B</v>
      </c>
      <c r="F91" t="str">
        <f>INDEX(raw!$B$2:$I$100,MATCH(data!D91,raw!$B$2:$B$108, 0), MATCH(data!F$1,raw!$B$1:$I$1, 0))</f>
        <v>seagrass</v>
      </c>
      <c r="G91" s="53">
        <f>IFERROR(INDEX(raw!$J$2:$K$86,MATCH(data!D91,raw!$B$2:$B$100,0),MATCH(data!B91,raw!$J$1:$K$1,0)), "NA")</f>
        <v>1147</v>
      </c>
      <c r="H91" s="66">
        <f>IF($F91 = "bare", 0, IFERROR(INDEX(carbon!$A$14:$J$93,MATCH("*"&amp;$E91&amp;"*",carbon!$A$14:$A$93,0),2), "NA"))</f>
        <v>71.37</v>
      </c>
      <c r="I91" s="66">
        <f>IF($F91 = "bare", 0, IFERROR(INDEX(carbon!$A$14:$J$93,MATCH("*"&amp;$E91&amp;"*",carbon!$A$14:$A$93,0),4), "NA"))</f>
        <v>19.260000000000002</v>
      </c>
      <c r="J91" s="66">
        <f>IF($F91 = "bare", 0, IFERROR(INDEX(carbon!$A$14:$J$93,MATCH("*"&amp;$E91&amp;"*",carbon!$A$14:$A$93,0),6), "NA"))</f>
        <v>265.77</v>
      </c>
      <c r="K91" s="66">
        <f>IF($F91 = "bare", 0, IFERROR(INDEX(carbon!$A$14:$J$93,MATCH("*"&amp;$E91&amp;"*",carbon!$A$14:$A$93,0),8), "NA"))</f>
        <v>1.7589999999999999</v>
      </c>
    </row>
    <row r="92" spans="1:11" ht="15.75" x14ac:dyDescent="0.25">
      <c r="A92" s="30" t="s">
        <v>454</v>
      </c>
      <c r="B92" s="30" t="s">
        <v>455</v>
      </c>
      <c r="C92" s="30" t="s">
        <v>517</v>
      </c>
      <c r="D92" t="s">
        <v>163</v>
      </c>
      <c r="E92" t="str">
        <f t="shared" si="2"/>
        <v>NR_53_A</v>
      </c>
      <c r="F92" t="str">
        <f>INDEX(raw!$B$2:$I$100,MATCH(data!D92,raw!$B$2:$B$108, 0), MATCH(data!F$1,raw!$B$1:$I$1, 0))</f>
        <v>seagrass</v>
      </c>
      <c r="G92" s="53">
        <f>IFERROR(INDEX(raw!$J$2:$K$86,MATCH(data!D92,raw!$B$2:$B$100,0),MATCH(data!B92,raw!$J$1:$K$1,0)), "NA")</f>
        <v>1514</v>
      </c>
      <c r="H92" s="66" t="str">
        <f>IF($F92 = "bare", 0, IFERROR(INDEX(carbon!$A$14:$J$93,MATCH("*"&amp;$E92&amp;"*",carbon!$A$14:$A$93,0),2), "NA"))</f>
        <v>NA</v>
      </c>
      <c r="I92" s="66" t="str">
        <f>IF($F92 = "bare", 0, IFERROR(INDEX(carbon!$A$14:$J$93,MATCH("*"&amp;$E92&amp;"*",carbon!$A$14:$A$93,0),4), "NA"))</f>
        <v>NA</v>
      </c>
      <c r="J92" s="66" t="str">
        <f>IF($F92 = "bare", 0, IFERROR(INDEX(carbon!$A$14:$J$93,MATCH("*"&amp;$E92&amp;"*",carbon!$A$14:$A$93,0),6), "NA"))</f>
        <v>NA</v>
      </c>
      <c r="K92" s="66" t="str">
        <f>IF($F92 = "bare", 0, IFERROR(INDEX(carbon!$A$14:$J$93,MATCH("*"&amp;$E92&amp;"*",carbon!$A$14:$A$93,0),8), "NA"))</f>
        <v>NA</v>
      </c>
    </row>
    <row r="93" spans="1:11" ht="15.75" x14ac:dyDescent="0.25">
      <c r="A93" s="30" t="s">
        <v>454</v>
      </c>
      <c r="B93" s="30" t="s">
        <v>453</v>
      </c>
      <c r="C93" s="30" t="s">
        <v>517</v>
      </c>
      <c r="D93" t="s">
        <v>163</v>
      </c>
      <c r="E93" t="str">
        <f t="shared" si="2"/>
        <v>NR_53_B</v>
      </c>
      <c r="F93" t="str">
        <f>INDEX(raw!$B$2:$I$100,MATCH(data!D93,raw!$B$2:$B$108, 0), MATCH(data!F$1,raw!$B$1:$I$1, 0))</f>
        <v>seagrass</v>
      </c>
      <c r="G93" s="53">
        <f>IFERROR(INDEX(raw!$J$2:$K$86,MATCH(data!D93,raw!$B$2:$B$100,0),MATCH(data!B93,raw!$J$1:$K$1,0)), "NA")</f>
        <v>556</v>
      </c>
      <c r="H93" s="66" t="str">
        <f>IF($F93 = "bare", 0, IFERROR(INDEX(carbon!$A$14:$J$93,MATCH("*"&amp;$E93&amp;"*",carbon!$A$14:$A$93,0),2), "NA"))</f>
        <v>NA</v>
      </c>
      <c r="I93" s="66" t="str">
        <f>IF($F93 = "bare", 0, IFERROR(INDEX(carbon!$A$14:$J$93,MATCH("*"&amp;$E93&amp;"*",carbon!$A$14:$A$93,0),4), "NA"))</f>
        <v>NA</v>
      </c>
      <c r="J93" s="66" t="str">
        <f>IF($F93 = "bare", 0, IFERROR(INDEX(carbon!$A$14:$J$93,MATCH("*"&amp;$E93&amp;"*",carbon!$A$14:$A$93,0),6), "NA"))</f>
        <v>NA</v>
      </c>
      <c r="K93" s="66" t="str">
        <f>IF($F93 = "bare", 0, IFERROR(INDEX(carbon!$A$14:$J$93,MATCH("*"&amp;$E93&amp;"*",carbon!$A$14:$A$93,0),8), "NA"))</f>
        <v>NA</v>
      </c>
    </row>
    <row r="94" spans="1:11" ht="15.75" x14ac:dyDescent="0.25">
      <c r="A94" s="30" t="s">
        <v>454</v>
      </c>
      <c r="B94" s="30" t="s">
        <v>455</v>
      </c>
      <c r="C94" s="30" t="s">
        <v>518</v>
      </c>
      <c r="D94" t="s">
        <v>32</v>
      </c>
      <c r="E94" t="str">
        <f t="shared" si="2"/>
        <v>RG_1_A</v>
      </c>
      <c r="F94" t="str">
        <f>INDEX(raw!$B$2:$I$100,MATCH(data!D94,raw!$B$2:$B$108, 0), MATCH(data!F$1,raw!$B$1:$I$1, 0))</f>
        <v>seagrass</v>
      </c>
      <c r="G94" s="53">
        <f>IFERROR(INDEX(raw!$J$2:$K$86,MATCH(data!D94,raw!$B$2:$B$100,0),MATCH(data!B94,raw!$J$1:$K$1,0)), "NA")</f>
        <v>2222</v>
      </c>
      <c r="H94" s="66" t="str">
        <f>IF($F94 = "bare", 0, IFERROR(INDEX(carbon!$A$14:$J$93,MATCH("*"&amp;$E94&amp;"*",carbon!$A$14:$A$93,0),2), "NA"))</f>
        <v>NA</v>
      </c>
      <c r="I94" s="66" t="str">
        <f>IF($F94 = "bare", 0, IFERROR(INDEX(carbon!$A$14:$J$93,MATCH("*"&amp;$E94&amp;"*",carbon!$A$14:$A$93,0),4), "NA"))</f>
        <v>NA</v>
      </c>
      <c r="J94" s="66" t="str">
        <f>IF($F94 = "bare", 0, IFERROR(INDEX(carbon!$A$14:$J$93,MATCH("*"&amp;$E94&amp;"*",carbon!$A$14:$A$93,0),6), "NA"))</f>
        <v>NA</v>
      </c>
      <c r="K94" s="66" t="str">
        <f>IF($F94 = "bare", 0, IFERROR(INDEX(carbon!$A$14:$J$93,MATCH("*"&amp;$E94&amp;"*",carbon!$A$14:$A$93,0),8), "NA"))</f>
        <v>NA</v>
      </c>
    </row>
    <row r="95" spans="1:11" ht="15.75" x14ac:dyDescent="0.25">
      <c r="A95" s="30" t="s">
        <v>454</v>
      </c>
      <c r="B95" s="30" t="s">
        <v>453</v>
      </c>
      <c r="C95" s="30" t="s">
        <v>518</v>
      </c>
      <c r="D95" t="s">
        <v>32</v>
      </c>
      <c r="E95" t="str">
        <f t="shared" si="2"/>
        <v>RG_1_B</v>
      </c>
      <c r="F95" t="str">
        <f>INDEX(raw!$B$2:$I$100,MATCH(data!D95,raw!$B$2:$B$108, 0), MATCH(data!F$1,raw!$B$1:$I$1, 0))</f>
        <v>seagrass</v>
      </c>
      <c r="G95" s="53">
        <f>IFERROR(INDEX(raw!$J$2:$K$86,MATCH(data!D95,raw!$B$2:$B$100,0),MATCH(data!B95,raw!$J$1:$K$1,0)), "NA")</f>
        <v>939</v>
      </c>
      <c r="H95" s="66" t="str">
        <f>IF($F95 = "bare", 0, IFERROR(INDEX(carbon!$A$14:$J$93,MATCH("*"&amp;$E95&amp;"*",carbon!$A$14:$A$93,0),2), "NA"))</f>
        <v>NA</v>
      </c>
      <c r="I95" s="66" t="str">
        <f>IF($F95 = "bare", 0, IFERROR(INDEX(carbon!$A$14:$J$93,MATCH("*"&amp;$E95&amp;"*",carbon!$A$14:$A$93,0),4), "NA"))</f>
        <v>NA</v>
      </c>
      <c r="J95" s="66" t="str">
        <f>IF($F95 = "bare", 0, IFERROR(INDEX(carbon!$A$14:$J$93,MATCH("*"&amp;$E95&amp;"*",carbon!$A$14:$A$93,0),6), "NA"))</f>
        <v>NA</v>
      </c>
      <c r="K95" s="66" t="str">
        <f>IF($F95 = "bare", 0, IFERROR(INDEX(carbon!$A$14:$J$93,MATCH("*"&amp;$E95&amp;"*",carbon!$A$14:$A$93,0),8), "NA"))</f>
        <v>NA</v>
      </c>
    </row>
    <row r="96" spans="1:11" ht="15.75" x14ac:dyDescent="0.25">
      <c r="A96" s="30" t="s">
        <v>454</v>
      </c>
      <c r="B96" s="30" t="s">
        <v>455</v>
      </c>
      <c r="C96" s="30" t="s">
        <v>518</v>
      </c>
      <c r="D96" t="s">
        <v>35</v>
      </c>
      <c r="E96" t="str">
        <f t="shared" si="2"/>
        <v>RG_2_A</v>
      </c>
      <c r="F96" t="str">
        <f>INDEX(raw!$B$2:$I$100,MATCH(data!D96,raw!$B$2:$B$108, 0), MATCH(data!F$1,raw!$B$1:$I$1, 0))</f>
        <v>bare</v>
      </c>
      <c r="G96" s="53">
        <f>IFERROR(INDEX(raw!$J$2:$K$86,MATCH(data!D96,raw!$B$2:$B$100,0),MATCH(data!B96,raw!$J$1:$K$1,0)), "NA")</f>
        <v>17</v>
      </c>
      <c r="H96" s="66">
        <f>IF($F96 = "bare", 0, IFERROR(INDEX(carbon!$A$14:$J$93,MATCH("*"&amp;$E96&amp;"*",carbon!$A$14:$A$93,0),2), "NA"))</f>
        <v>0</v>
      </c>
      <c r="I96" s="66">
        <f>IF($F96 = "bare", 0, IFERROR(INDEX(carbon!$A$14:$J$93,MATCH("*"&amp;$E96&amp;"*",carbon!$A$14:$A$93,0),4), "NA"))</f>
        <v>0</v>
      </c>
      <c r="J96" s="66">
        <f>IF($F96 = "bare", 0, IFERROR(INDEX(carbon!$A$14:$J$93,MATCH("*"&amp;$E96&amp;"*",carbon!$A$14:$A$93,0),6), "NA"))</f>
        <v>0</v>
      </c>
      <c r="K96" s="66">
        <f>IF($F96 = "bare", 0, IFERROR(INDEX(carbon!$A$14:$J$93,MATCH("*"&amp;$E96&amp;"*",carbon!$A$14:$A$93,0),8), "NA"))</f>
        <v>0</v>
      </c>
    </row>
    <row r="97" spans="1:11" ht="15.75" x14ac:dyDescent="0.25">
      <c r="A97" s="30" t="s">
        <v>454</v>
      </c>
      <c r="B97" s="30" t="s">
        <v>453</v>
      </c>
      <c r="C97" s="30" t="s">
        <v>518</v>
      </c>
      <c r="D97" t="s">
        <v>35</v>
      </c>
      <c r="E97" t="str">
        <f t="shared" si="2"/>
        <v>RG_2_B</v>
      </c>
      <c r="F97" t="str">
        <f>INDEX(raw!$B$2:$I$100,MATCH(data!D97,raw!$B$2:$B$108, 0), MATCH(data!F$1,raw!$B$1:$I$1, 0))</f>
        <v>bare</v>
      </c>
      <c r="G97" s="53">
        <f>IFERROR(INDEX(raw!$J$2:$K$86,MATCH(data!D97,raw!$B$2:$B$100,0),MATCH(data!B97,raw!$J$1:$K$1,0)), "NA")</f>
        <v>0</v>
      </c>
      <c r="H97" s="66">
        <f>IF($F97 = "bare", 0, IFERROR(INDEX(carbon!$A$14:$J$93,MATCH("*"&amp;$E97&amp;"*",carbon!$A$14:$A$93,0),2), "NA"))</f>
        <v>0</v>
      </c>
      <c r="I97" s="66">
        <f>IF($F97 = "bare", 0, IFERROR(INDEX(carbon!$A$14:$J$93,MATCH("*"&amp;$E97&amp;"*",carbon!$A$14:$A$93,0),4), "NA"))</f>
        <v>0</v>
      </c>
      <c r="J97" s="66">
        <f>IF($F97 = "bare", 0, IFERROR(INDEX(carbon!$A$14:$J$93,MATCH("*"&amp;$E97&amp;"*",carbon!$A$14:$A$93,0),6), "NA"))</f>
        <v>0</v>
      </c>
      <c r="K97" s="66">
        <f>IF($F97 = "bare", 0, IFERROR(INDEX(carbon!$A$14:$J$93,MATCH("*"&amp;$E97&amp;"*",carbon!$A$14:$A$93,0),8), "NA"))</f>
        <v>0</v>
      </c>
    </row>
    <row r="98" spans="1:11" ht="15.75" x14ac:dyDescent="0.25">
      <c r="A98" s="30" t="s">
        <v>454</v>
      </c>
      <c r="B98" s="30" t="s">
        <v>455</v>
      </c>
      <c r="C98" s="30" t="s">
        <v>518</v>
      </c>
      <c r="D98" t="s">
        <v>65</v>
      </c>
      <c r="E98" t="str">
        <f t="shared" ref="E98:E129" si="3">CONCATENATE(SUBSTITUTE(D98, " ", "_"), "_", IF(B98 = "Leaves", "A", IF(B98 = "Roots", "B", NA)))</f>
        <v>RG_3_A</v>
      </c>
      <c r="F98" t="str">
        <f>INDEX(raw!$B$2:$I$100,MATCH(data!D98,raw!$B$2:$B$108, 0), MATCH(data!F$1,raw!$B$1:$I$1, 0))</f>
        <v>seagrass</v>
      </c>
      <c r="G98" s="53">
        <f>IFERROR(INDEX(raw!$J$2:$K$86,MATCH(data!D98,raw!$B$2:$B$100,0),MATCH(data!B98,raw!$J$1:$K$1,0)), "NA")</f>
        <v>871</v>
      </c>
      <c r="H98" s="66">
        <f>IF($F98 = "bare", 0, IFERROR(INDEX(carbon!$A$14:$J$93,MATCH("*"&amp;$E98&amp;"*",carbon!$A$14:$A$93,0),2), "NA"))</f>
        <v>74.73</v>
      </c>
      <c r="I98" s="66">
        <f>IF($F98 = "bare", 0, IFERROR(INDEX(carbon!$A$14:$J$93,MATCH("*"&amp;$E98&amp;"*",carbon!$A$14:$A$93,0),4), "NA"))</f>
        <v>23.49</v>
      </c>
      <c r="J98" s="66">
        <f>IF($F98 = "bare", 0, IFERROR(INDEX(carbon!$A$14:$J$93,MATCH("*"&amp;$E98&amp;"*",carbon!$A$14:$A$93,0),6), "NA"))</f>
        <v>211.46</v>
      </c>
      <c r="K98" s="66">
        <f>IF($F98 = "bare", 0, IFERROR(INDEX(carbon!$A$14:$J$93,MATCH("*"&amp;$E98&amp;"*",carbon!$A$14:$A$93,0),8), "NA"))</f>
        <v>2.052</v>
      </c>
    </row>
    <row r="99" spans="1:11" ht="15.75" x14ac:dyDescent="0.25">
      <c r="A99" s="30" t="s">
        <v>454</v>
      </c>
      <c r="B99" s="30" t="s">
        <v>453</v>
      </c>
      <c r="C99" s="30" t="s">
        <v>518</v>
      </c>
      <c r="D99" t="s">
        <v>65</v>
      </c>
      <c r="E99" t="str">
        <f t="shared" si="3"/>
        <v>RG_3_B</v>
      </c>
      <c r="F99" t="str">
        <f>INDEX(raw!$B$2:$I$100,MATCH(data!D99,raw!$B$2:$B$108, 0), MATCH(data!F$1,raw!$B$1:$I$1, 0))</f>
        <v>seagrass</v>
      </c>
      <c r="G99" s="53">
        <f>IFERROR(INDEX(raw!$J$2:$K$86,MATCH(data!D99,raw!$B$2:$B$100,0),MATCH(data!B99,raw!$J$1:$K$1,0)), "NA")</f>
        <v>401</v>
      </c>
      <c r="H99" s="66">
        <f>IF($F99 = "bare", 0, IFERROR(INDEX(carbon!$A$14:$J$93,MATCH("*"&amp;$E99&amp;"*",carbon!$A$14:$A$93,0),2), "NA"))</f>
        <v>71.97</v>
      </c>
      <c r="I99" s="66">
        <f>IF($F99 = "bare", 0, IFERROR(INDEX(carbon!$A$14:$J$93,MATCH("*"&amp;$E99&amp;"*",carbon!$A$14:$A$93,0),4), "NA"))</f>
        <v>15.46</v>
      </c>
      <c r="J99" s="66">
        <f>IF($F99 = "bare", 0, IFERROR(INDEX(carbon!$A$14:$J$93,MATCH("*"&amp;$E99&amp;"*",carbon!$A$14:$A$93,0),6), "NA"))</f>
        <v>205.3</v>
      </c>
      <c r="K99" s="66">
        <f>IF($F99 = "bare", 0, IFERROR(INDEX(carbon!$A$14:$J$93,MATCH("*"&amp;$E99&amp;"*",carbon!$A$14:$A$93,0),8), "NA"))</f>
        <v>2.879</v>
      </c>
    </row>
    <row r="100" spans="1:11" ht="15.75" x14ac:dyDescent="0.25">
      <c r="A100" s="30" t="s">
        <v>454</v>
      </c>
      <c r="B100" s="30" t="s">
        <v>455</v>
      </c>
      <c r="C100" s="30" t="s">
        <v>518</v>
      </c>
      <c r="D100" t="s">
        <v>69</v>
      </c>
      <c r="E100" t="str">
        <f t="shared" si="3"/>
        <v>RG_4_A</v>
      </c>
      <c r="F100" t="str">
        <f>INDEX(raw!$B$2:$I$100,MATCH(data!D100,raw!$B$2:$B$108, 0), MATCH(data!F$1,raw!$B$1:$I$1, 0))</f>
        <v>seagrass</v>
      </c>
      <c r="G100" s="53">
        <f>IFERROR(INDEX(raw!$J$2:$K$86,MATCH(data!D100,raw!$B$2:$B$100,0),MATCH(data!B100,raw!$J$1:$K$1,0)), "NA")</f>
        <v>994</v>
      </c>
      <c r="H100" s="66">
        <f>IF($F100 = "bare", 0, IFERROR(INDEX(carbon!$A$14:$J$93,MATCH("*"&amp;$E100&amp;"*",carbon!$A$14:$A$93,0),2), "NA"))</f>
        <v>70.150000000000006</v>
      </c>
      <c r="I100" s="66">
        <f>IF($F100 = "bare", 0, IFERROR(INDEX(carbon!$A$14:$J$93,MATCH("*"&amp;$E100&amp;"*",carbon!$A$14:$A$93,0),4), "NA"))</f>
        <v>22.38</v>
      </c>
      <c r="J100" s="66">
        <f>IF($F100 = "bare", 0, IFERROR(INDEX(carbon!$A$14:$J$93,MATCH("*"&amp;$E100&amp;"*",carbon!$A$14:$A$93,0),6), "NA"))</f>
        <v>226.21</v>
      </c>
      <c r="K100" s="66">
        <f>IF($F100 = "bare", 0, IFERROR(INDEX(carbon!$A$14:$J$93,MATCH("*"&amp;$E100&amp;"*",carbon!$A$14:$A$93,0),8), "NA"))</f>
        <v>1.8839999999999999</v>
      </c>
    </row>
    <row r="101" spans="1:11" ht="15.75" x14ac:dyDescent="0.25">
      <c r="A101" s="30" t="s">
        <v>454</v>
      </c>
      <c r="B101" s="30" t="s">
        <v>453</v>
      </c>
      <c r="C101" s="30" t="s">
        <v>518</v>
      </c>
      <c r="D101" t="s">
        <v>69</v>
      </c>
      <c r="E101" t="str">
        <f t="shared" si="3"/>
        <v>RG_4_B</v>
      </c>
      <c r="F101" t="str">
        <f>INDEX(raw!$B$2:$I$100,MATCH(data!D101,raw!$B$2:$B$108, 0), MATCH(data!F$1,raw!$B$1:$I$1, 0))</f>
        <v>seagrass</v>
      </c>
      <c r="G101" s="53">
        <f>IFERROR(INDEX(raw!$J$2:$K$86,MATCH(data!D101,raw!$B$2:$B$100,0),MATCH(data!B101,raw!$J$1:$K$1,0)), "NA")</f>
        <v>343</v>
      </c>
      <c r="H101" s="66">
        <f>IF($F101 = "bare", 0, IFERROR(INDEX(carbon!$A$14:$J$93,MATCH("*"&amp;$E101&amp;"*",carbon!$A$14:$A$93,0),2), "NA"))</f>
        <v>70.91</v>
      </c>
      <c r="I101" s="66">
        <f>IF($F101 = "bare", 0, IFERROR(INDEX(carbon!$A$14:$J$93,MATCH("*"&amp;$E101&amp;"*",carbon!$A$14:$A$93,0),4), "NA"))</f>
        <v>16.93</v>
      </c>
      <c r="J101" s="66">
        <f>IF($F101 = "bare", 0, IFERROR(INDEX(carbon!$A$14:$J$93,MATCH("*"&amp;$E101&amp;"*",carbon!$A$14:$A$93,0),6), "NA"))</f>
        <v>234.58</v>
      </c>
      <c r="K101" s="66">
        <f>IF($F101 = "bare", 0, IFERROR(INDEX(carbon!$A$14:$J$93,MATCH("*"&amp;$E101&amp;"*",carbon!$A$14:$A$93,0),8), "NA"))</f>
        <v>0.74280000000000002</v>
      </c>
    </row>
    <row r="102" spans="1:11" ht="15.75" x14ac:dyDescent="0.25">
      <c r="A102" s="30" t="s">
        <v>454</v>
      </c>
      <c r="B102" s="30" t="s">
        <v>455</v>
      </c>
      <c r="C102" s="30" t="s">
        <v>518</v>
      </c>
      <c r="D102" t="s">
        <v>97</v>
      </c>
      <c r="E102" t="str">
        <f t="shared" si="3"/>
        <v>RG_5_A</v>
      </c>
      <c r="F102" t="str">
        <f>INDEX(raw!$B$2:$I$100,MATCH(data!D102,raw!$B$2:$B$108, 0), MATCH(data!F$1,raw!$B$1:$I$1, 0))</f>
        <v>seagrass</v>
      </c>
      <c r="G102" s="53">
        <f>IFERROR(INDEX(raw!$J$2:$K$86,MATCH(data!D102,raw!$B$2:$B$100,0),MATCH(data!B102,raw!$J$1:$K$1,0)), "NA")</f>
        <v>2171</v>
      </c>
      <c r="H102" s="66">
        <f>IF($F102 = "bare", 0, IFERROR(INDEX(carbon!$A$14:$J$93,MATCH("*"&amp;$E102&amp;"*",carbon!$A$14:$A$93,0),2), "NA"))</f>
        <v>75.31</v>
      </c>
      <c r="I102" s="66">
        <f>IF($F102 = "bare", 0, IFERROR(INDEX(carbon!$A$14:$J$93,MATCH("*"&amp;$E102&amp;"*",carbon!$A$14:$A$93,0),4), "NA"))</f>
        <v>22.2</v>
      </c>
      <c r="J102" s="66">
        <f>IF($F102 = "bare", 0, IFERROR(INDEX(carbon!$A$14:$J$93,MATCH("*"&amp;$E102&amp;"*",carbon!$A$14:$A$93,0),6), "NA"))</f>
        <v>200.58</v>
      </c>
      <c r="K102" s="66">
        <f>IF($F102 = "bare", 0, IFERROR(INDEX(carbon!$A$14:$J$93,MATCH("*"&amp;$E102&amp;"*",carbon!$A$14:$A$93,0),8), "NA"))</f>
        <v>1.0369999999999999</v>
      </c>
    </row>
    <row r="103" spans="1:11" ht="15.75" x14ac:dyDescent="0.25">
      <c r="A103" s="30" t="s">
        <v>454</v>
      </c>
      <c r="B103" s="30" t="s">
        <v>453</v>
      </c>
      <c r="C103" s="30" t="s">
        <v>518</v>
      </c>
      <c r="D103" t="s">
        <v>97</v>
      </c>
      <c r="E103" t="str">
        <f t="shared" si="3"/>
        <v>RG_5_B</v>
      </c>
      <c r="F103" t="str">
        <f>INDEX(raw!$B$2:$I$100,MATCH(data!D103,raw!$B$2:$B$108, 0), MATCH(data!F$1,raw!$B$1:$I$1, 0))</f>
        <v>seagrass</v>
      </c>
      <c r="G103" s="53">
        <f>IFERROR(INDEX(raw!$J$2:$K$86,MATCH(data!D103,raw!$B$2:$B$100,0),MATCH(data!B103,raw!$J$1:$K$1,0)), "NA")</f>
        <v>933</v>
      </c>
      <c r="H103" s="66">
        <f>IF($F103 = "bare", 0, IFERROR(INDEX(carbon!$A$14:$J$93,MATCH("*"&amp;$E103&amp;"*",carbon!$A$14:$A$93,0),2), "NA"))</f>
        <v>79.260000000000005</v>
      </c>
      <c r="I103" s="66">
        <f>IF($F103 = "bare", 0, IFERROR(INDEX(carbon!$A$14:$J$93,MATCH("*"&amp;$E103&amp;"*",carbon!$A$14:$A$93,0),4), "NA"))</f>
        <v>21.04</v>
      </c>
      <c r="J103" s="66">
        <f>IF($F103 = "bare", 0, IFERROR(INDEX(carbon!$A$14:$J$93,MATCH("*"&amp;$E103&amp;"*",carbon!$A$14:$A$93,0),6), "NA"))</f>
        <v>202.92</v>
      </c>
      <c r="K103" s="66">
        <f>IF($F103 = "bare", 0, IFERROR(INDEX(carbon!$A$14:$J$93,MATCH("*"&amp;$E103&amp;"*",carbon!$A$14:$A$93,0),8), "NA"))</f>
        <v>0.46689999999999998</v>
      </c>
    </row>
    <row r="104" spans="1:11" ht="15.75" x14ac:dyDescent="0.25">
      <c r="A104" s="30" t="s">
        <v>454</v>
      </c>
      <c r="B104" s="30" t="s">
        <v>455</v>
      </c>
      <c r="C104" s="30" t="s">
        <v>518</v>
      </c>
      <c r="D104" t="s">
        <v>101</v>
      </c>
      <c r="E104" t="str">
        <f t="shared" si="3"/>
        <v>RG_6_A</v>
      </c>
      <c r="F104" t="str">
        <f>INDEX(raw!$B$2:$I$100,MATCH(data!D104,raw!$B$2:$B$108, 0), MATCH(data!F$1,raw!$B$1:$I$1, 0))</f>
        <v>bare</v>
      </c>
      <c r="G104" s="53">
        <f>IFERROR(INDEX(raw!$J$2:$K$86,MATCH(data!D104,raw!$B$2:$B$100,0),MATCH(data!B104,raw!$J$1:$K$1,0)), "NA")</f>
        <v>0</v>
      </c>
      <c r="H104" s="66">
        <f>IF($F104 = "bare", 0, IFERROR(INDEX(carbon!$A$14:$J$93,MATCH("*"&amp;$E104&amp;"*",carbon!$A$14:$A$93,0),2), "NA"))</f>
        <v>0</v>
      </c>
      <c r="I104" s="66">
        <f>IF($F104 = "bare", 0, IFERROR(INDEX(carbon!$A$14:$J$93,MATCH("*"&amp;$E104&amp;"*",carbon!$A$14:$A$93,0),4), "NA"))</f>
        <v>0</v>
      </c>
      <c r="J104" s="66">
        <f>IF($F104 = "bare", 0, IFERROR(INDEX(carbon!$A$14:$J$93,MATCH("*"&amp;$E104&amp;"*",carbon!$A$14:$A$93,0),6), "NA"))</f>
        <v>0</v>
      </c>
      <c r="K104" s="66">
        <f>IF($F104 = "bare", 0, IFERROR(INDEX(carbon!$A$14:$J$93,MATCH("*"&amp;$E104&amp;"*",carbon!$A$14:$A$93,0),8), "NA"))</f>
        <v>0</v>
      </c>
    </row>
    <row r="105" spans="1:11" ht="15.75" x14ac:dyDescent="0.25">
      <c r="A105" s="30" t="s">
        <v>454</v>
      </c>
      <c r="B105" s="30" t="s">
        <v>453</v>
      </c>
      <c r="C105" s="30" t="s">
        <v>518</v>
      </c>
      <c r="D105" t="s">
        <v>101</v>
      </c>
      <c r="E105" t="str">
        <f t="shared" si="3"/>
        <v>RG_6_B</v>
      </c>
      <c r="F105" t="str">
        <f>INDEX(raw!$B$2:$I$100,MATCH(data!D105,raw!$B$2:$B$108, 0), MATCH(data!F$1,raw!$B$1:$I$1, 0))</f>
        <v>bare</v>
      </c>
      <c r="G105" s="53">
        <f>IFERROR(INDEX(raw!$J$2:$K$86,MATCH(data!D105,raw!$B$2:$B$100,0),MATCH(data!B105,raw!$J$1:$K$1,0)), "NA")</f>
        <v>0</v>
      </c>
      <c r="H105" s="66">
        <f>IF($F105 = "bare", 0, IFERROR(INDEX(carbon!$A$14:$J$93,MATCH("*"&amp;$E105&amp;"*",carbon!$A$14:$A$93,0),2), "NA"))</f>
        <v>0</v>
      </c>
      <c r="I105" s="66">
        <f>IF($F105 = "bare", 0, IFERROR(INDEX(carbon!$A$14:$J$93,MATCH("*"&amp;$E105&amp;"*",carbon!$A$14:$A$93,0),4), "NA"))</f>
        <v>0</v>
      </c>
      <c r="J105" s="66">
        <f>IF($F105 = "bare", 0, IFERROR(INDEX(carbon!$A$14:$J$93,MATCH("*"&amp;$E105&amp;"*",carbon!$A$14:$A$93,0),6), "NA"))</f>
        <v>0</v>
      </c>
      <c r="K105" s="66">
        <f>IF($F105 = "bare", 0, IFERROR(INDEX(carbon!$A$14:$J$93,MATCH("*"&amp;$E105&amp;"*",carbon!$A$14:$A$93,0),8), "NA"))</f>
        <v>0</v>
      </c>
    </row>
    <row r="106" spans="1:11" ht="15.75" x14ac:dyDescent="0.25">
      <c r="A106" s="30" t="s">
        <v>454</v>
      </c>
      <c r="B106" s="30" t="s">
        <v>455</v>
      </c>
      <c r="C106" s="30" t="s">
        <v>518</v>
      </c>
      <c r="D106" t="s">
        <v>146</v>
      </c>
      <c r="E106" t="str">
        <f t="shared" si="3"/>
        <v>RG_7_A</v>
      </c>
      <c r="F106" t="str">
        <f>INDEX(raw!$B$2:$I$100,MATCH(data!D106,raw!$B$2:$B$108, 0), MATCH(data!F$1,raw!$B$1:$I$1, 0))</f>
        <v>bare</v>
      </c>
      <c r="G106" s="53">
        <f>IFERROR(INDEX(raw!$J$2:$K$86,MATCH(data!D106,raw!$B$2:$B$100,0),MATCH(data!B106,raw!$J$1:$K$1,0)), "NA")</f>
        <v>0</v>
      </c>
      <c r="H106" s="66">
        <f>IF($F106 = "bare", 0, IFERROR(INDEX(carbon!$A$14:$J$93,MATCH("*"&amp;$E106&amp;"*",carbon!$A$14:$A$93,0),2), "NA"))</f>
        <v>0</v>
      </c>
      <c r="I106" s="66">
        <f>IF($F106 = "bare", 0, IFERROR(INDEX(carbon!$A$14:$J$93,MATCH("*"&amp;$E106&amp;"*",carbon!$A$14:$A$93,0),4), "NA"))</f>
        <v>0</v>
      </c>
      <c r="J106" s="66">
        <f>IF($F106 = "bare", 0, IFERROR(INDEX(carbon!$A$14:$J$93,MATCH("*"&amp;$E106&amp;"*",carbon!$A$14:$A$93,0),6), "NA"))</f>
        <v>0</v>
      </c>
      <c r="K106" s="66">
        <f>IF($F106 = "bare", 0, IFERROR(INDEX(carbon!$A$14:$J$93,MATCH("*"&amp;$E106&amp;"*",carbon!$A$14:$A$93,0),8), "NA"))</f>
        <v>0</v>
      </c>
    </row>
    <row r="107" spans="1:11" ht="15.75" x14ac:dyDescent="0.25">
      <c r="A107" s="30" t="s">
        <v>454</v>
      </c>
      <c r="B107" s="30" t="s">
        <v>453</v>
      </c>
      <c r="C107" s="30" t="s">
        <v>518</v>
      </c>
      <c r="D107" t="s">
        <v>146</v>
      </c>
      <c r="E107" t="str">
        <f t="shared" si="3"/>
        <v>RG_7_B</v>
      </c>
      <c r="F107" t="str">
        <f>INDEX(raw!$B$2:$I$100,MATCH(data!D107,raw!$B$2:$B$108, 0), MATCH(data!F$1,raw!$B$1:$I$1, 0))</f>
        <v>bare</v>
      </c>
      <c r="G107" s="53">
        <f>IFERROR(INDEX(raw!$J$2:$K$86,MATCH(data!D107,raw!$B$2:$B$100,0),MATCH(data!B107,raw!$J$1:$K$1,0)), "NA")</f>
        <v>0</v>
      </c>
      <c r="H107" s="66">
        <f>IF($F107 = "bare", 0, IFERROR(INDEX(carbon!$A$14:$J$93,MATCH("*"&amp;$E107&amp;"*",carbon!$A$14:$A$93,0),2), "NA"))</f>
        <v>0</v>
      </c>
      <c r="I107" s="66">
        <f>IF($F107 = "bare", 0, IFERROR(INDEX(carbon!$A$14:$J$93,MATCH("*"&amp;$E107&amp;"*",carbon!$A$14:$A$93,0),4), "NA"))</f>
        <v>0</v>
      </c>
      <c r="J107" s="66">
        <f>IF($F107 = "bare", 0, IFERROR(INDEX(carbon!$A$14:$J$93,MATCH("*"&amp;$E107&amp;"*",carbon!$A$14:$A$93,0),6), "NA"))</f>
        <v>0</v>
      </c>
      <c r="K107" s="66">
        <f>IF($F107 = "bare", 0, IFERROR(INDEX(carbon!$A$14:$J$93,MATCH("*"&amp;$E107&amp;"*",carbon!$A$14:$A$93,0),8), "NA"))</f>
        <v>0</v>
      </c>
    </row>
    <row r="108" spans="1:11" ht="15.75" x14ac:dyDescent="0.25">
      <c r="A108" s="30" t="s">
        <v>454</v>
      </c>
      <c r="B108" s="30" t="s">
        <v>455</v>
      </c>
      <c r="C108" s="30" t="s">
        <v>518</v>
      </c>
      <c r="D108" t="s">
        <v>149</v>
      </c>
      <c r="E108" t="str">
        <f t="shared" si="3"/>
        <v>RG_8_A</v>
      </c>
      <c r="F108" t="str">
        <f>INDEX(raw!$B$2:$I$100,MATCH(data!D108,raw!$B$2:$B$108, 0), MATCH(data!F$1,raw!$B$1:$I$1, 0))</f>
        <v>bare</v>
      </c>
      <c r="G108" s="53">
        <f>IFERROR(INDEX(raw!$J$2:$K$86,MATCH(data!D108,raw!$B$2:$B$100,0),MATCH(data!B108,raw!$J$1:$K$1,0)), "NA")</f>
        <v>0</v>
      </c>
      <c r="H108" s="66">
        <f>IF($F108 = "bare", 0, IFERROR(INDEX(carbon!$A$14:$J$93,MATCH("*"&amp;$E108&amp;"*",carbon!$A$14:$A$93,0),2), "NA"))</f>
        <v>0</v>
      </c>
      <c r="I108" s="66">
        <f>IF($F108 = "bare", 0, IFERROR(INDEX(carbon!$A$14:$J$93,MATCH("*"&amp;$E108&amp;"*",carbon!$A$14:$A$93,0),4), "NA"))</f>
        <v>0</v>
      </c>
      <c r="J108" s="66">
        <f>IF($F108 = "bare", 0, IFERROR(INDEX(carbon!$A$14:$J$93,MATCH("*"&amp;$E108&amp;"*",carbon!$A$14:$A$93,0),6), "NA"))</f>
        <v>0</v>
      </c>
      <c r="K108" s="66">
        <f>IF($F108 = "bare", 0, IFERROR(INDEX(carbon!$A$14:$J$93,MATCH("*"&amp;$E108&amp;"*",carbon!$A$14:$A$93,0),8), "NA"))</f>
        <v>0</v>
      </c>
    </row>
    <row r="109" spans="1:11" ht="15.75" x14ac:dyDescent="0.25">
      <c r="A109" s="30" t="s">
        <v>454</v>
      </c>
      <c r="B109" s="30" t="s">
        <v>453</v>
      </c>
      <c r="C109" s="30" t="s">
        <v>518</v>
      </c>
      <c r="D109" t="s">
        <v>149</v>
      </c>
      <c r="E109" t="str">
        <f t="shared" si="3"/>
        <v>RG_8_B</v>
      </c>
      <c r="F109" t="str">
        <f>INDEX(raw!$B$2:$I$100,MATCH(data!D109,raw!$B$2:$B$108, 0), MATCH(data!F$1,raw!$B$1:$I$1, 0))</f>
        <v>bare</v>
      </c>
      <c r="G109" s="53">
        <f>IFERROR(INDEX(raw!$J$2:$K$86,MATCH(data!D109,raw!$B$2:$B$100,0),MATCH(data!B109,raw!$J$1:$K$1,0)), "NA")</f>
        <v>0</v>
      </c>
      <c r="H109" s="66">
        <f>IF($F109 = "bare", 0, IFERROR(INDEX(carbon!$A$14:$J$93,MATCH("*"&amp;$E109&amp;"*",carbon!$A$14:$A$93,0),2), "NA"))</f>
        <v>0</v>
      </c>
      <c r="I109" s="66">
        <f>IF($F109 = "bare", 0, IFERROR(INDEX(carbon!$A$14:$J$93,MATCH("*"&amp;$E109&amp;"*",carbon!$A$14:$A$93,0),4), "NA"))</f>
        <v>0</v>
      </c>
      <c r="J109" s="66">
        <f>IF($F109 = "bare", 0, IFERROR(INDEX(carbon!$A$14:$J$93,MATCH("*"&amp;$E109&amp;"*",carbon!$A$14:$A$93,0),6), "NA"))</f>
        <v>0</v>
      </c>
      <c r="K109" s="66">
        <f>IF($F109 = "bare", 0, IFERROR(INDEX(carbon!$A$14:$J$93,MATCH("*"&amp;$E109&amp;"*",carbon!$A$14:$A$93,0),8), "NA"))</f>
        <v>0</v>
      </c>
    </row>
    <row r="110" spans="1:11" ht="15.75" x14ac:dyDescent="0.25">
      <c r="A110" s="30" t="s">
        <v>454</v>
      </c>
      <c r="B110" s="30" t="s">
        <v>455</v>
      </c>
      <c r="C110" s="30" t="s">
        <v>518</v>
      </c>
      <c r="D110" t="s">
        <v>29</v>
      </c>
      <c r="E110" t="str">
        <f t="shared" si="3"/>
        <v>RG_9_A</v>
      </c>
      <c r="F110" t="str">
        <f>INDEX(raw!$B$2:$I$100,MATCH(data!D110,raw!$B$2:$B$108, 0), MATCH(data!F$1,raw!$B$1:$I$1, 0))</f>
        <v>seagrass</v>
      </c>
      <c r="G110" s="53">
        <f>IFERROR(INDEX(raw!$J$2:$K$86,MATCH(data!D110,raw!$B$2:$B$100,0),MATCH(data!B110,raw!$J$1:$K$1,0)), "NA")</f>
        <v>42</v>
      </c>
      <c r="H110" s="66">
        <f>IF($F110 = "bare", 0, IFERROR(INDEX(carbon!$A$14:$J$93,MATCH("*"&amp;$E110&amp;"*",carbon!$A$14:$A$93,0),2), "NA"))</f>
        <v>72.44</v>
      </c>
      <c r="I110" s="66">
        <f>IF($F110 = "bare", 0, IFERROR(INDEX(carbon!$A$14:$J$93,MATCH("*"&amp;$E110&amp;"*",carbon!$A$14:$A$93,0),4), "NA"))</f>
        <v>23.37</v>
      </c>
      <c r="J110" s="66">
        <f>IF($F110 = "bare", 0, IFERROR(INDEX(carbon!$A$14:$J$93,MATCH("*"&amp;$E110&amp;"*",carbon!$A$14:$A$93,0),6), "NA"))</f>
        <v>203.4</v>
      </c>
      <c r="K110" s="66">
        <f>IF($F110 = "bare", 0, IFERROR(INDEX(carbon!$A$14:$J$93,MATCH("*"&amp;$E110&amp;"*",carbon!$A$14:$A$93,0),8), "NA"))</f>
        <v>0.2777</v>
      </c>
    </row>
    <row r="111" spans="1:11" ht="15.75" x14ac:dyDescent="0.25">
      <c r="A111" s="30" t="s">
        <v>454</v>
      </c>
      <c r="B111" s="30" t="s">
        <v>453</v>
      </c>
      <c r="C111" s="30" t="s">
        <v>518</v>
      </c>
      <c r="D111" t="s">
        <v>29</v>
      </c>
      <c r="E111" t="str">
        <f t="shared" si="3"/>
        <v>RG_9_B</v>
      </c>
      <c r="F111" t="str">
        <f>INDEX(raw!$B$2:$I$100,MATCH(data!D111,raw!$B$2:$B$108, 0), MATCH(data!F$1,raw!$B$1:$I$1, 0))</f>
        <v>seagrass</v>
      </c>
      <c r="G111" s="53">
        <f>IFERROR(INDEX(raw!$J$2:$K$86,MATCH(data!D111,raw!$B$2:$B$100,0),MATCH(data!B111,raw!$J$1:$K$1,0)), "NA")</f>
        <v>141</v>
      </c>
      <c r="H111" s="66">
        <f>IF($F111 = "bare", 0, IFERROR(INDEX(carbon!$A$14:$J$93,MATCH("*"&amp;$E111&amp;"*",carbon!$A$14:$A$93,0),2), "NA"))</f>
        <v>71.790000000000006</v>
      </c>
      <c r="I111" s="66">
        <f>IF($F111 = "bare", 0, IFERROR(INDEX(carbon!$A$14:$J$93,MATCH("*"&amp;$E111&amp;"*",carbon!$A$14:$A$93,0),4), "NA"))</f>
        <v>16.05</v>
      </c>
      <c r="J111" s="66">
        <f>IF($F111 = "bare", 0, IFERROR(INDEX(carbon!$A$14:$J$93,MATCH("*"&amp;$E111&amp;"*",carbon!$A$14:$A$93,0),6), "NA"))</f>
        <v>217.38</v>
      </c>
      <c r="K111" s="66">
        <f>IF($F111 = "bare", 0, IFERROR(INDEX(carbon!$A$14:$J$93,MATCH("*"&amp;$E111&amp;"*",carbon!$A$14:$A$93,0),8), "NA"))</f>
        <v>0.93279999999999996</v>
      </c>
    </row>
    <row r="112" spans="1:11" ht="15.75" x14ac:dyDescent="0.25">
      <c r="A112" s="30" t="s">
        <v>454</v>
      </c>
      <c r="B112" s="30" t="s">
        <v>455</v>
      </c>
      <c r="C112" s="30" t="s">
        <v>518</v>
      </c>
      <c r="D112" t="s">
        <v>39</v>
      </c>
      <c r="E112" t="str">
        <f t="shared" si="3"/>
        <v>RG_10_A</v>
      </c>
      <c r="F112" t="str">
        <f>INDEX(raw!$B$2:$I$100,MATCH(data!D112,raw!$B$2:$B$108, 0), MATCH(data!F$1,raw!$B$1:$I$1, 0))</f>
        <v>algae</v>
      </c>
      <c r="G112" s="53">
        <f>IFERROR(INDEX(raw!$J$2:$K$86,MATCH(data!D112,raw!$B$2:$B$100,0),MATCH(data!B112,raw!$J$1:$K$1,0)), "NA")</f>
        <v>0</v>
      </c>
      <c r="H112" s="66" t="str">
        <f>IF($F112 = "bare", 0, IFERROR(INDEX(carbon!$A$14:$J$93,MATCH("*"&amp;$E112&amp;"*",carbon!$A$14:$A$93,0),2), "NA"))</f>
        <v>NA</v>
      </c>
      <c r="I112" s="66" t="str">
        <f>IF($F112 = "bare", 0, IFERROR(INDEX(carbon!$A$14:$J$93,MATCH("*"&amp;$E112&amp;"*",carbon!$A$14:$A$93,0),4), "NA"))</f>
        <v>NA</v>
      </c>
      <c r="J112" s="66" t="str">
        <f>IF($F112 = "bare", 0, IFERROR(INDEX(carbon!$A$14:$J$93,MATCH("*"&amp;$E112&amp;"*",carbon!$A$14:$A$93,0),6), "NA"))</f>
        <v>NA</v>
      </c>
      <c r="K112" s="66" t="str">
        <f>IF($F112 = "bare", 0, IFERROR(INDEX(carbon!$A$14:$J$93,MATCH("*"&amp;$E112&amp;"*",carbon!$A$14:$A$93,0),8), "NA"))</f>
        <v>NA</v>
      </c>
    </row>
    <row r="113" spans="1:11" ht="15.75" x14ac:dyDescent="0.25">
      <c r="A113" s="30" t="s">
        <v>454</v>
      </c>
      <c r="B113" s="30" t="s">
        <v>453</v>
      </c>
      <c r="C113" s="30" t="s">
        <v>518</v>
      </c>
      <c r="D113" t="s">
        <v>39</v>
      </c>
      <c r="E113" t="str">
        <f t="shared" si="3"/>
        <v>RG_10_B</v>
      </c>
      <c r="F113" t="str">
        <f>INDEX(raw!$B$2:$I$100,MATCH(data!D113,raw!$B$2:$B$108, 0), MATCH(data!F$1,raw!$B$1:$I$1, 0))</f>
        <v>algae</v>
      </c>
      <c r="G113" s="53">
        <f>IFERROR(INDEX(raw!$J$2:$K$86,MATCH(data!D113,raw!$B$2:$B$100,0),MATCH(data!B113,raw!$J$1:$K$1,0)), "NA")</f>
        <v>0</v>
      </c>
      <c r="H113" s="66" t="str">
        <f>IF($F113 = "bare", 0, IFERROR(INDEX(carbon!$A$14:$J$93,MATCH("*"&amp;$E113&amp;"*",carbon!$A$14:$A$93,0),2), "NA"))</f>
        <v>NA</v>
      </c>
      <c r="I113" s="66" t="str">
        <f>IF($F113 = "bare", 0, IFERROR(INDEX(carbon!$A$14:$J$93,MATCH("*"&amp;$E113&amp;"*",carbon!$A$14:$A$93,0),4), "NA"))</f>
        <v>NA</v>
      </c>
      <c r="J113" s="66" t="str">
        <f>IF($F113 = "bare", 0, IFERROR(INDEX(carbon!$A$14:$J$93,MATCH("*"&amp;$E113&amp;"*",carbon!$A$14:$A$93,0),6), "NA"))</f>
        <v>NA</v>
      </c>
      <c r="K113" s="66" t="str">
        <f>IF($F113 = "bare", 0, IFERROR(INDEX(carbon!$A$14:$J$93,MATCH("*"&amp;$E113&amp;"*",carbon!$A$14:$A$93,0),8), "NA"))</f>
        <v>NA</v>
      </c>
    </row>
    <row r="114" spans="1:11" ht="15.75" x14ac:dyDescent="0.25">
      <c r="A114" s="30" t="s">
        <v>454</v>
      </c>
      <c r="B114" s="30" t="s">
        <v>455</v>
      </c>
      <c r="C114" s="30" t="s">
        <v>518</v>
      </c>
      <c r="D114" t="s">
        <v>59</v>
      </c>
      <c r="E114" t="str">
        <f t="shared" si="3"/>
        <v>RG_11_A</v>
      </c>
      <c r="F114" t="str">
        <f>INDEX(raw!$B$2:$I$100,MATCH(data!D114,raw!$B$2:$B$108, 0), MATCH(data!F$1,raw!$B$1:$I$1, 0))</f>
        <v>algae</v>
      </c>
      <c r="G114" s="53">
        <f>IFERROR(INDEX(raw!$J$2:$K$86,MATCH(data!D114,raw!$B$2:$B$100,0),MATCH(data!B114,raw!$J$1:$K$1,0)), "NA")</f>
        <v>0</v>
      </c>
      <c r="H114" s="66" t="str">
        <f>IF($F114 = "bare", 0, IFERROR(INDEX(carbon!$A$14:$J$93,MATCH("*"&amp;$E114&amp;"*",carbon!$A$14:$A$93,0),2), "NA"))</f>
        <v>NA</v>
      </c>
      <c r="I114" s="66" t="str">
        <f>IF($F114 = "bare", 0, IFERROR(INDEX(carbon!$A$14:$J$93,MATCH("*"&amp;$E114&amp;"*",carbon!$A$14:$A$93,0),4), "NA"))</f>
        <v>NA</v>
      </c>
      <c r="J114" s="66" t="str">
        <f>IF($F114 = "bare", 0, IFERROR(INDEX(carbon!$A$14:$J$93,MATCH("*"&amp;$E114&amp;"*",carbon!$A$14:$A$93,0),6), "NA"))</f>
        <v>NA</v>
      </c>
      <c r="K114" s="66" t="str">
        <f>IF($F114 = "bare", 0, IFERROR(INDEX(carbon!$A$14:$J$93,MATCH("*"&amp;$E114&amp;"*",carbon!$A$14:$A$93,0),8), "NA"))</f>
        <v>NA</v>
      </c>
    </row>
    <row r="115" spans="1:11" ht="15.75" x14ac:dyDescent="0.25">
      <c r="A115" s="30" t="s">
        <v>454</v>
      </c>
      <c r="B115" s="30" t="s">
        <v>453</v>
      </c>
      <c r="C115" s="30" t="s">
        <v>518</v>
      </c>
      <c r="D115" t="s">
        <v>59</v>
      </c>
      <c r="E115" t="str">
        <f t="shared" si="3"/>
        <v>RG_11_B</v>
      </c>
      <c r="F115" t="str">
        <f>INDEX(raw!$B$2:$I$100,MATCH(data!D115,raw!$B$2:$B$108, 0), MATCH(data!F$1,raw!$B$1:$I$1, 0))</f>
        <v>algae</v>
      </c>
      <c r="G115" s="53">
        <f>IFERROR(INDEX(raw!$J$2:$K$86,MATCH(data!D115,raw!$B$2:$B$100,0),MATCH(data!B115,raw!$J$1:$K$1,0)), "NA")</f>
        <v>0</v>
      </c>
      <c r="H115" s="66" t="str">
        <f>IF($F115 = "bare", 0, IFERROR(INDEX(carbon!$A$14:$J$93,MATCH("*"&amp;$E115&amp;"*",carbon!$A$14:$A$93,0),2), "NA"))</f>
        <v>NA</v>
      </c>
      <c r="I115" s="66" t="str">
        <f>IF($F115 = "bare", 0, IFERROR(INDEX(carbon!$A$14:$J$93,MATCH("*"&amp;$E115&amp;"*",carbon!$A$14:$A$93,0),4), "NA"))</f>
        <v>NA</v>
      </c>
      <c r="J115" s="66" t="str">
        <f>IF($F115 = "bare", 0, IFERROR(INDEX(carbon!$A$14:$J$93,MATCH("*"&amp;$E115&amp;"*",carbon!$A$14:$A$93,0),6), "NA"))</f>
        <v>NA</v>
      </c>
      <c r="K115" s="66" t="str">
        <f>IF($F115 = "bare", 0, IFERROR(INDEX(carbon!$A$14:$J$93,MATCH("*"&amp;$E115&amp;"*",carbon!$A$14:$A$93,0),8), "NA"))</f>
        <v>NA</v>
      </c>
    </row>
    <row r="116" spans="1:11" ht="15.75" x14ac:dyDescent="0.25">
      <c r="A116" s="30" t="s">
        <v>454</v>
      </c>
      <c r="B116" s="30" t="s">
        <v>455</v>
      </c>
      <c r="C116" s="30" t="s">
        <v>518</v>
      </c>
      <c r="D116" t="s">
        <v>75</v>
      </c>
      <c r="E116" t="str">
        <f t="shared" si="3"/>
        <v>RG_12_A</v>
      </c>
      <c r="F116" t="str">
        <f>INDEX(raw!$B$2:$I$100,MATCH(data!D116,raw!$B$2:$B$108, 0), MATCH(data!F$1,raw!$B$1:$I$1, 0))</f>
        <v>seagrass</v>
      </c>
      <c r="G116" s="53">
        <f>IFERROR(INDEX(raw!$J$2:$K$86,MATCH(data!D116,raw!$B$2:$B$100,0),MATCH(data!B116,raw!$J$1:$K$1,0)), "NA")</f>
        <v>2695</v>
      </c>
      <c r="H116" s="66">
        <f>IF($F116 = "bare", 0, IFERROR(INDEX(carbon!$A$14:$J$93,MATCH("*"&amp;$E116&amp;"*",carbon!$A$14:$A$93,0),2), "NA"))</f>
        <v>78.14</v>
      </c>
      <c r="I116" s="66">
        <f>IF($F116 = "bare", 0, IFERROR(INDEX(carbon!$A$14:$J$93,MATCH("*"&amp;$E116&amp;"*",carbon!$A$14:$A$93,0),4), "NA"))</f>
        <v>23.36</v>
      </c>
      <c r="J116" s="66">
        <f>IF($F116 = "bare", 0, IFERROR(INDEX(carbon!$A$14:$J$93,MATCH("*"&amp;$E116&amp;"*",carbon!$A$14:$A$93,0),6), "NA"))</f>
        <v>207.98</v>
      </c>
      <c r="K116" s="66">
        <f>IF($F116 = "bare", 0, IFERROR(INDEX(carbon!$A$14:$J$93,MATCH("*"&amp;$E116&amp;"*",carbon!$A$14:$A$93,0),8), "NA"))</f>
        <v>0.6583</v>
      </c>
    </row>
    <row r="117" spans="1:11" ht="15.75" x14ac:dyDescent="0.25">
      <c r="A117" s="30" t="s">
        <v>454</v>
      </c>
      <c r="B117" s="30" t="s">
        <v>453</v>
      </c>
      <c r="C117" s="30" t="s">
        <v>518</v>
      </c>
      <c r="D117" t="s">
        <v>75</v>
      </c>
      <c r="E117" t="str">
        <f t="shared" si="3"/>
        <v>RG_12_B</v>
      </c>
      <c r="F117" t="str">
        <f>INDEX(raw!$B$2:$I$100,MATCH(data!D117,raw!$B$2:$B$108, 0), MATCH(data!F$1,raw!$B$1:$I$1, 0))</f>
        <v>seagrass</v>
      </c>
      <c r="G117" s="53">
        <f>IFERROR(INDEX(raw!$J$2:$K$86,MATCH(data!D117,raw!$B$2:$B$100,0),MATCH(data!B117,raw!$J$1:$K$1,0)), "NA")</f>
        <v>1160</v>
      </c>
      <c r="H117" s="66">
        <f>IF($F117 = "bare", 0, IFERROR(INDEX(carbon!$A$14:$J$93,MATCH("*"&amp;$E117&amp;"*",carbon!$A$14:$A$93,0),2), "NA"))</f>
        <v>77.47</v>
      </c>
      <c r="I117" s="66">
        <f>IF($F117 = "bare", 0, IFERROR(INDEX(carbon!$A$14:$J$93,MATCH("*"&amp;$E117&amp;"*",carbon!$A$14:$A$93,0),4), "NA"))</f>
        <v>19.59</v>
      </c>
      <c r="J117" s="66">
        <f>IF($F117 = "bare", 0, IFERROR(INDEX(carbon!$A$14:$J$93,MATCH("*"&amp;$E117&amp;"*",carbon!$A$14:$A$93,0),6), "NA"))</f>
        <v>214.68</v>
      </c>
      <c r="K117" s="66">
        <f>IF($F117 = "bare", 0, IFERROR(INDEX(carbon!$A$14:$J$93,MATCH("*"&amp;$E117&amp;"*",carbon!$A$14:$A$93,0),8), "NA"))</f>
        <v>0.83840000000000003</v>
      </c>
    </row>
    <row r="118" spans="1:11" ht="15.75" x14ac:dyDescent="0.25">
      <c r="A118" s="30" t="s">
        <v>454</v>
      </c>
      <c r="B118" s="30" t="s">
        <v>455</v>
      </c>
      <c r="C118" s="30" t="s">
        <v>518</v>
      </c>
      <c r="D118" t="s">
        <v>89</v>
      </c>
      <c r="E118" t="str">
        <f t="shared" si="3"/>
        <v>RG_13_A</v>
      </c>
      <c r="F118" t="str">
        <f>INDEX(raw!$B$2:$I$100,MATCH(data!D118,raw!$B$2:$B$108, 0), MATCH(data!F$1,raw!$B$1:$I$1, 0))</f>
        <v>seagrass</v>
      </c>
      <c r="G118" s="53">
        <f>IFERROR(INDEX(raw!$J$2:$K$86,MATCH(data!D118,raw!$B$2:$B$100,0),MATCH(data!B118,raw!$J$1:$K$1,0)), "NA")</f>
        <v>2790</v>
      </c>
      <c r="H118" s="66">
        <f>IF($F118 = "bare", 0, IFERROR(INDEX(carbon!$A$14:$J$93,MATCH("*"&amp;$E118&amp;"*",carbon!$A$14:$A$93,0),2), "NA"))</f>
        <v>76.77</v>
      </c>
      <c r="I118" s="66">
        <f>IF($F118 = "bare", 0, IFERROR(INDEX(carbon!$A$14:$J$93,MATCH("*"&amp;$E118&amp;"*",carbon!$A$14:$A$93,0),4), "NA"))</f>
        <v>21.82</v>
      </c>
      <c r="J118" s="66">
        <f>IF($F118 = "bare", 0, IFERROR(INDEX(carbon!$A$14:$J$93,MATCH("*"&amp;$E118&amp;"*",carbon!$A$14:$A$93,0),6), "NA"))</f>
        <v>202.31</v>
      </c>
      <c r="K118" s="66">
        <f>IF($F118 = "bare", 0, IFERROR(INDEX(carbon!$A$14:$J$93,MATCH("*"&amp;$E118&amp;"*",carbon!$A$14:$A$93,0),8), "NA"))</f>
        <v>1.6120000000000001</v>
      </c>
    </row>
    <row r="119" spans="1:11" ht="15.75" x14ac:dyDescent="0.25">
      <c r="A119" s="30" t="s">
        <v>454</v>
      </c>
      <c r="B119" s="30" t="s">
        <v>453</v>
      </c>
      <c r="C119" s="30" t="s">
        <v>518</v>
      </c>
      <c r="D119" t="s">
        <v>89</v>
      </c>
      <c r="E119" t="str">
        <f t="shared" si="3"/>
        <v>RG_13_B</v>
      </c>
      <c r="F119" t="str">
        <f>INDEX(raw!$B$2:$I$100,MATCH(data!D119,raw!$B$2:$B$108, 0), MATCH(data!F$1,raw!$B$1:$I$1, 0))</f>
        <v>seagrass</v>
      </c>
      <c r="G119" s="53">
        <f>IFERROR(INDEX(raw!$J$2:$K$86,MATCH(data!D119,raw!$B$2:$B$100,0),MATCH(data!B119,raw!$J$1:$K$1,0)), "NA")</f>
        <v>888</v>
      </c>
      <c r="H119" s="66">
        <f>IF($F119 = "bare", 0, IFERROR(INDEX(carbon!$A$14:$J$93,MATCH("*"&amp;$E119&amp;"*",carbon!$A$14:$A$93,0),2), "NA"))</f>
        <v>72.19</v>
      </c>
      <c r="I119" s="66">
        <f>IF($F119 = "bare", 0, IFERROR(INDEX(carbon!$A$14:$J$93,MATCH("*"&amp;$E119&amp;"*",carbon!$A$14:$A$93,0),4), "NA"))</f>
        <v>16.66</v>
      </c>
      <c r="J119" s="66">
        <f>IF($F119 = "bare", 0, IFERROR(INDEX(carbon!$A$14:$J$93,MATCH("*"&amp;$E119&amp;"*",carbon!$A$14:$A$93,0),6), "NA"))</f>
        <v>201.97</v>
      </c>
      <c r="K119" s="66">
        <f>IF($F119 = "bare", 0, IFERROR(INDEX(carbon!$A$14:$J$93,MATCH("*"&amp;$E119&amp;"*",carbon!$A$14:$A$93,0),8), "NA"))</f>
        <v>1.1459999999999999</v>
      </c>
    </row>
    <row r="120" spans="1:11" ht="15.75" x14ac:dyDescent="0.25">
      <c r="A120" s="30" t="s">
        <v>454</v>
      </c>
      <c r="B120" s="30" t="s">
        <v>455</v>
      </c>
      <c r="C120" s="30" t="s">
        <v>518</v>
      </c>
      <c r="D120" t="s">
        <v>108</v>
      </c>
      <c r="E120" t="str">
        <f t="shared" si="3"/>
        <v>RG_14_A</v>
      </c>
      <c r="F120" t="str">
        <f>INDEX(raw!$B$2:$I$100,MATCH(data!D120,raw!$B$2:$B$108, 0), MATCH(data!F$1,raw!$B$1:$I$1, 0))</f>
        <v>seagrass</v>
      </c>
      <c r="G120" s="53">
        <f>IFERROR(INDEX(raw!$J$2:$K$86,MATCH(data!D120,raw!$B$2:$B$100,0),MATCH(data!B120,raw!$J$1:$K$1,0)), "NA")</f>
        <v>2715</v>
      </c>
      <c r="H120" s="66">
        <f>IF($F120 = "bare", 0, IFERROR(INDEX(carbon!$A$14:$J$93,MATCH("*"&amp;$E120&amp;"*",carbon!$A$14:$A$93,0),2), "NA"))</f>
        <v>70.52</v>
      </c>
      <c r="I120" s="66">
        <f>IF($F120 = "bare", 0, IFERROR(INDEX(carbon!$A$14:$J$93,MATCH("*"&amp;$E120&amp;"*",carbon!$A$14:$A$93,0),4), "NA"))</f>
        <v>20.329999999999998</v>
      </c>
      <c r="J120" s="66">
        <f>IF($F120 = "bare", 0, IFERROR(INDEX(carbon!$A$14:$J$93,MATCH("*"&amp;$E120&amp;"*",carbon!$A$14:$A$93,0),6), "NA"))</f>
        <v>219.22</v>
      </c>
      <c r="K120" s="66">
        <f>IF($F120 = "bare", 0, IFERROR(INDEX(carbon!$A$14:$J$93,MATCH("*"&amp;$E120&amp;"*",carbon!$A$14:$A$93,0),8), "NA"))</f>
        <v>0.94920000000000004</v>
      </c>
    </row>
    <row r="121" spans="1:11" ht="15.75" x14ac:dyDescent="0.25">
      <c r="A121" s="30" t="s">
        <v>454</v>
      </c>
      <c r="B121" s="30" t="s">
        <v>453</v>
      </c>
      <c r="C121" s="30" t="s">
        <v>518</v>
      </c>
      <c r="D121" t="s">
        <v>108</v>
      </c>
      <c r="E121" t="str">
        <f t="shared" si="3"/>
        <v>RG_14_B</v>
      </c>
      <c r="F121" t="str">
        <f>INDEX(raw!$B$2:$I$100,MATCH(data!D121,raw!$B$2:$B$108, 0), MATCH(data!F$1,raw!$B$1:$I$1, 0))</f>
        <v>seagrass</v>
      </c>
      <c r="G121" s="53">
        <f>IFERROR(INDEX(raw!$J$2:$K$86,MATCH(data!D121,raw!$B$2:$B$100,0),MATCH(data!B121,raw!$J$1:$K$1,0)), "NA")</f>
        <v>1696</v>
      </c>
      <c r="H121" s="66">
        <f>IF($F121 = "bare", 0, IFERROR(INDEX(carbon!$A$14:$J$93,MATCH("*"&amp;$E121&amp;"*",carbon!$A$14:$A$93,0),2), "NA"))</f>
        <v>75.41</v>
      </c>
      <c r="I121" s="66">
        <f>IF($F121 = "bare", 0, IFERROR(INDEX(carbon!$A$14:$J$93,MATCH("*"&amp;$E121&amp;"*",carbon!$A$14:$A$93,0),4), "NA"))</f>
        <v>19.3</v>
      </c>
      <c r="J121" s="66">
        <f>IF($F121 = "bare", 0, IFERROR(INDEX(carbon!$A$14:$J$93,MATCH("*"&amp;$E121&amp;"*",carbon!$A$14:$A$93,0),6), "NA"))</f>
        <v>222.34</v>
      </c>
      <c r="K121" s="66">
        <f>IF($F121 = "bare", 0, IFERROR(INDEX(carbon!$A$14:$J$93,MATCH("*"&amp;$E121&amp;"*",carbon!$A$14:$A$93,0),8), "NA"))</f>
        <v>1.0329999999999999</v>
      </c>
    </row>
    <row r="122" spans="1:11" ht="15.75" x14ac:dyDescent="0.25">
      <c r="A122" s="30" t="s">
        <v>454</v>
      </c>
      <c r="B122" s="30" t="s">
        <v>455</v>
      </c>
      <c r="C122" s="30" t="s">
        <v>518</v>
      </c>
      <c r="D122" t="s">
        <v>140</v>
      </c>
      <c r="E122" t="str">
        <f t="shared" si="3"/>
        <v>RG_15_A</v>
      </c>
      <c r="F122" t="str">
        <f>INDEX(raw!$B$2:$I$100,MATCH(data!D122,raw!$B$2:$B$108, 0), MATCH(data!F$1,raw!$B$1:$I$1, 0))</f>
        <v>seagrass</v>
      </c>
      <c r="G122" s="53">
        <f>IFERROR(INDEX(raw!$J$2:$K$86,MATCH(data!D122,raw!$B$2:$B$100,0),MATCH(data!B122,raw!$J$1:$K$1,0)), "NA")</f>
        <v>1871</v>
      </c>
      <c r="H122" s="66">
        <f>IF($F122 = "bare", 0, IFERROR(INDEX(carbon!$A$14:$J$93,MATCH("*"&amp;$E122&amp;"*",carbon!$A$14:$A$93,0),2), "NA"))</f>
        <v>70.739999999999995</v>
      </c>
      <c r="I122" s="66">
        <f>IF($F122 = "bare", 0, IFERROR(INDEX(carbon!$A$14:$J$93,MATCH("*"&amp;$E122&amp;"*",carbon!$A$14:$A$93,0),4), "NA"))</f>
        <v>19.760000000000002</v>
      </c>
      <c r="J122" s="66">
        <f>IF($F122 = "bare", 0, IFERROR(INDEX(carbon!$A$14:$J$93,MATCH("*"&amp;$E122&amp;"*",carbon!$A$14:$A$93,0),6), "NA"))</f>
        <v>203.01</v>
      </c>
      <c r="K122" s="66">
        <f>IF($F122 = "bare", 0, IFERROR(INDEX(carbon!$A$14:$J$93,MATCH("*"&amp;$E122&amp;"*",carbon!$A$14:$A$93,0),8), "NA"))</f>
        <v>0.40550000000000003</v>
      </c>
    </row>
    <row r="123" spans="1:11" ht="15.75" x14ac:dyDescent="0.25">
      <c r="A123" s="30" t="s">
        <v>454</v>
      </c>
      <c r="B123" s="30" t="s">
        <v>453</v>
      </c>
      <c r="C123" s="30" t="s">
        <v>518</v>
      </c>
      <c r="D123" t="s">
        <v>140</v>
      </c>
      <c r="E123" t="str">
        <f t="shared" si="3"/>
        <v>RG_15_B</v>
      </c>
      <c r="F123" t="str">
        <f>INDEX(raw!$B$2:$I$100,MATCH(data!D123,raw!$B$2:$B$108, 0), MATCH(data!F$1,raw!$B$1:$I$1, 0))</f>
        <v>seagrass</v>
      </c>
      <c r="G123" s="53">
        <f>IFERROR(INDEX(raw!$J$2:$K$86,MATCH(data!D123,raw!$B$2:$B$100,0),MATCH(data!B123,raw!$J$1:$K$1,0)), "NA")</f>
        <v>1585</v>
      </c>
      <c r="H123" s="66">
        <f>IF($F123 = "bare", 0, IFERROR(INDEX(carbon!$A$14:$J$93,MATCH("*"&amp;$E123&amp;"*",carbon!$A$14:$A$93,0),2), "NA"))</f>
        <v>75.75</v>
      </c>
      <c r="I123" s="66">
        <f>IF($F123 = "bare", 0, IFERROR(INDEX(carbon!$A$14:$J$93,MATCH("*"&amp;$E123&amp;"*",carbon!$A$14:$A$93,0),4), "NA"))</f>
        <v>18.14</v>
      </c>
      <c r="J123" s="66">
        <f>IF($F123 = "bare", 0, IFERROR(INDEX(carbon!$A$14:$J$93,MATCH("*"&amp;$E123&amp;"*",carbon!$A$14:$A$93,0),6), "NA"))</f>
        <v>212.14</v>
      </c>
      <c r="K123" s="66">
        <f>IF($F123 = "bare", 0, IFERROR(INDEX(carbon!$A$14:$J$93,MATCH("*"&amp;$E123&amp;"*",carbon!$A$14:$A$93,0),8), "NA"))</f>
        <v>0.25940000000000002</v>
      </c>
    </row>
    <row r="124" spans="1:11" ht="15.75" x14ac:dyDescent="0.25">
      <c r="A124" s="30" t="s">
        <v>454</v>
      </c>
      <c r="B124" s="30" t="s">
        <v>455</v>
      </c>
      <c r="C124" s="30" t="s">
        <v>518</v>
      </c>
      <c r="D124" t="s">
        <v>136</v>
      </c>
      <c r="E124" t="str">
        <f t="shared" si="3"/>
        <v>RG_16_A</v>
      </c>
      <c r="F124" t="str">
        <f>INDEX(raw!$B$2:$I$100,MATCH(data!D124,raw!$B$2:$B$108, 0), MATCH(data!F$1,raw!$B$1:$I$1, 0))</f>
        <v>seagrass</v>
      </c>
      <c r="G124" s="53">
        <f>IFERROR(INDEX(raw!$J$2:$K$86,MATCH(data!D124,raw!$B$2:$B$100,0),MATCH(data!B124,raw!$J$1:$K$1,0)), "NA")</f>
        <v>645</v>
      </c>
      <c r="H124" s="66">
        <f>IF($F124 = "bare", 0, IFERROR(INDEX(carbon!$A$14:$J$93,MATCH("*"&amp;$E124&amp;"*",carbon!$A$14:$A$93,0),2), "NA"))</f>
        <v>76.7</v>
      </c>
      <c r="I124" s="66">
        <f>IF($F124 = "bare", 0, IFERROR(INDEX(carbon!$A$14:$J$93,MATCH("*"&amp;$E124&amp;"*",carbon!$A$14:$A$93,0),4), "NA"))</f>
        <v>23.23</v>
      </c>
      <c r="J124" s="66">
        <f>IF($F124 = "bare", 0, IFERROR(INDEX(carbon!$A$14:$J$93,MATCH("*"&amp;$E124&amp;"*",carbon!$A$14:$A$93,0),6), "NA"))</f>
        <v>209.94</v>
      </c>
      <c r="K124" s="66">
        <f>IF($F124 = "bare", 0, IFERROR(INDEX(carbon!$A$14:$J$93,MATCH("*"&amp;$E124&amp;"*",carbon!$A$14:$A$93,0),8), "NA"))</f>
        <v>1.333</v>
      </c>
    </row>
    <row r="125" spans="1:11" ht="15.75" x14ac:dyDescent="0.25">
      <c r="A125" s="30" t="s">
        <v>454</v>
      </c>
      <c r="B125" s="30" t="s">
        <v>453</v>
      </c>
      <c r="C125" s="30" t="s">
        <v>518</v>
      </c>
      <c r="D125" t="s">
        <v>136</v>
      </c>
      <c r="E125" t="str">
        <f t="shared" si="3"/>
        <v>RG_16_B</v>
      </c>
      <c r="F125" t="str">
        <f>INDEX(raw!$B$2:$I$100,MATCH(data!D125,raw!$B$2:$B$108, 0), MATCH(data!F$1,raw!$B$1:$I$1, 0))</f>
        <v>seagrass</v>
      </c>
      <c r="G125" s="53">
        <f>IFERROR(INDEX(raw!$J$2:$K$86,MATCH(data!D125,raw!$B$2:$B$100,0),MATCH(data!B125,raw!$J$1:$K$1,0)), "NA")</f>
        <v>607</v>
      </c>
      <c r="H125" s="66">
        <f>IF($F125 = "bare", 0, IFERROR(INDEX(carbon!$A$14:$J$93,MATCH("*"&amp;$E125&amp;"*",carbon!$A$14:$A$93,0),2), "NA"))</f>
        <v>70.63</v>
      </c>
      <c r="I125" s="66">
        <f>IF($F125 = "bare", 0, IFERROR(INDEX(carbon!$A$14:$J$93,MATCH("*"&amp;$E125&amp;"*",carbon!$A$14:$A$93,0),4), "NA"))</f>
        <v>16.899999999999999</v>
      </c>
      <c r="J125" s="66">
        <f>IF($F125 = "bare", 0, IFERROR(INDEX(carbon!$A$14:$J$93,MATCH("*"&amp;$E125&amp;"*",carbon!$A$14:$A$93,0),6), "NA"))</f>
        <v>202.3</v>
      </c>
      <c r="K125" s="66">
        <f>IF($F125 = "bare", 0, IFERROR(INDEX(carbon!$A$14:$J$93,MATCH("*"&amp;$E125&amp;"*",carbon!$A$14:$A$93,0),8), "NA"))</f>
        <v>0.2412</v>
      </c>
    </row>
    <row r="126" spans="1:11" ht="15.75" x14ac:dyDescent="0.25">
      <c r="A126" s="30" t="s">
        <v>454</v>
      </c>
      <c r="B126" s="30" t="s">
        <v>455</v>
      </c>
      <c r="C126" s="30" t="s">
        <v>518</v>
      </c>
      <c r="D126" t="s">
        <v>25</v>
      </c>
      <c r="E126" t="str">
        <f t="shared" si="3"/>
        <v>RG_17_A</v>
      </c>
      <c r="F126" t="str">
        <f>INDEX(raw!$B$2:$I$100,MATCH(data!D126,raw!$B$2:$B$108, 0), MATCH(data!F$1,raw!$B$1:$I$1, 0))</f>
        <v>seagrass</v>
      </c>
      <c r="G126" s="53">
        <f>IFERROR(INDEX(raw!$J$2:$K$86,MATCH(data!D126,raw!$B$2:$B$100,0),MATCH(data!B126,raw!$J$1:$K$1,0)), "NA")</f>
        <v>315</v>
      </c>
      <c r="H126" s="66">
        <f>IF($F126 = "bare", 0, IFERROR(INDEX(carbon!$A$14:$J$93,MATCH("*"&amp;$E126&amp;"*",carbon!$A$14:$A$93,0),2), "NA"))</f>
        <v>72.44</v>
      </c>
      <c r="I126" s="66">
        <f>IF($F126 = "bare", 0, IFERROR(INDEX(carbon!$A$14:$J$93,MATCH("*"&amp;$E126&amp;"*",carbon!$A$14:$A$93,0),4), "NA"))</f>
        <v>23.37</v>
      </c>
      <c r="J126" s="66">
        <f>IF($F126 = "bare", 0, IFERROR(INDEX(carbon!$A$14:$J$93,MATCH("*"&amp;$E126&amp;"*",carbon!$A$14:$A$93,0),6), "NA"))</f>
        <v>203.4</v>
      </c>
      <c r="K126" s="66">
        <f>IF($F126 = "bare", 0, IFERROR(INDEX(carbon!$A$14:$J$93,MATCH("*"&amp;$E126&amp;"*",carbon!$A$14:$A$93,0),8), "NA"))</f>
        <v>0.2777</v>
      </c>
    </row>
    <row r="127" spans="1:11" ht="15.75" x14ac:dyDescent="0.25">
      <c r="A127" s="30" t="s">
        <v>454</v>
      </c>
      <c r="B127" s="30" t="s">
        <v>453</v>
      </c>
      <c r="C127" s="30" t="s">
        <v>518</v>
      </c>
      <c r="D127" t="s">
        <v>25</v>
      </c>
      <c r="E127" t="str">
        <f t="shared" si="3"/>
        <v>RG_17_B</v>
      </c>
      <c r="F127" t="str">
        <f>INDEX(raw!$B$2:$I$100,MATCH(data!D127,raw!$B$2:$B$108, 0), MATCH(data!F$1,raw!$B$1:$I$1, 0))</f>
        <v>seagrass</v>
      </c>
      <c r="G127" s="53">
        <f>IFERROR(INDEX(raw!$J$2:$K$86,MATCH(data!D127,raw!$B$2:$B$100,0),MATCH(data!B127,raw!$J$1:$K$1,0)), "NA")</f>
        <v>250</v>
      </c>
      <c r="H127" s="66">
        <f>IF($F127 = "bare", 0, IFERROR(INDEX(carbon!$A$14:$J$93,MATCH("*"&amp;$E127&amp;"*",carbon!$A$14:$A$93,0),2), "NA"))</f>
        <v>71.790000000000006</v>
      </c>
      <c r="I127" s="66">
        <f>IF($F127 = "bare", 0, IFERROR(INDEX(carbon!$A$14:$J$93,MATCH("*"&amp;$E127&amp;"*",carbon!$A$14:$A$93,0),4), "NA"))</f>
        <v>16.05</v>
      </c>
      <c r="J127" s="66">
        <f>IF($F127 = "bare", 0, IFERROR(INDEX(carbon!$A$14:$J$93,MATCH("*"&amp;$E127&amp;"*",carbon!$A$14:$A$93,0),6), "NA"))</f>
        <v>217.38</v>
      </c>
      <c r="K127" s="66">
        <f>IF($F127 = "bare", 0, IFERROR(INDEX(carbon!$A$14:$J$93,MATCH("*"&amp;$E127&amp;"*",carbon!$A$14:$A$93,0),8), "NA"))</f>
        <v>0.93279999999999996</v>
      </c>
    </row>
    <row r="128" spans="1:11" ht="15.75" x14ac:dyDescent="0.25">
      <c r="A128" s="30" t="s">
        <v>454</v>
      </c>
      <c r="B128" s="30" t="s">
        <v>455</v>
      </c>
      <c r="C128" s="30" t="s">
        <v>518</v>
      </c>
      <c r="D128" t="s">
        <v>48</v>
      </c>
      <c r="E128" t="str">
        <f t="shared" si="3"/>
        <v>RG_18_A</v>
      </c>
      <c r="F128" t="str">
        <f>INDEX(raw!$B$2:$I$100,MATCH(data!D128,raw!$B$2:$B$108, 0), MATCH(data!F$1,raw!$B$1:$I$1, 0))</f>
        <v>seagrass</v>
      </c>
      <c r="G128" s="53">
        <f>IFERROR(INDEX(raw!$J$2:$K$86,MATCH(data!D128,raw!$B$2:$B$100,0),MATCH(data!B128,raw!$J$1:$K$1,0)), "NA")</f>
        <v>2797</v>
      </c>
      <c r="H128" s="66" t="str">
        <f>IF($F128 = "bare", 0, IFERROR(INDEX(carbon!$A$14:$J$93,MATCH("*"&amp;$E128&amp;"*",carbon!$A$14:$A$93,0),2), "NA"))</f>
        <v>NA</v>
      </c>
      <c r="I128" s="66" t="str">
        <f>IF($F128 = "bare", 0, IFERROR(INDEX(carbon!$A$14:$J$93,MATCH("*"&amp;$E128&amp;"*",carbon!$A$14:$A$93,0),4), "NA"))</f>
        <v>NA</v>
      </c>
      <c r="J128" s="66" t="str">
        <f>IF($F128 = "bare", 0, IFERROR(INDEX(carbon!$A$14:$J$93,MATCH("*"&amp;$E128&amp;"*",carbon!$A$14:$A$93,0),6), "NA"))</f>
        <v>NA</v>
      </c>
      <c r="K128" s="66" t="str">
        <f>IF($F128 = "bare", 0, IFERROR(INDEX(carbon!$A$14:$J$93,MATCH("*"&amp;$E128&amp;"*",carbon!$A$14:$A$93,0),8), "NA"))</f>
        <v>NA</v>
      </c>
    </row>
    <row r="129" spans="1:11" ht="15.75" x14ac:dyDescent="0.25">
      <c r="A129" s="30" t="s">
        <v>454</v>
      </c>
      <c r="B129" s="30" t="s">
        <v>453</v>
      </c>
      <c r="C129" s="30" t="s">
        <v>518</v>
      </c>
      <c r="D129" t="s">
        <v>48</v>
      </c>
      <c r="E129" t="str">
        <f t="shared" si="3"/>
        <v>RG_18_B</v>
      </c>
      <c r="F129" t="str">
        <f>INDEX(raw!$B$2:$I$100,MATCH(data!D129,raw!$B$2:$B$108, 0), MATCH(data!F$1,raw!$B$1:$I$1, 0))</f>
        <v>seagrass</v>
      </c>
      <c r="G129" s="53">
        <f>IFERROR(INDEX(raw!$J$2:$K$86,MATCH(data!D129,raw!$B$2:$B$100,0),MATCH(data!B129,raw!$J$1:$K$1,0)), "NA")</f>
        <v>1048</v>
      </c>
      <c r="H129" s="66" t="str">
        <f>IF($F129 = "bare", 0, IFERROR(INDEX(carbon!$A$14:$J$93,MATCH("*"&amp;$E129&amp;"*",carbon!$A$14:$A$93,0),2), "NA"))</f>
        <v>NA</v>
      </c>
      <c r="I129" s="66" t="str">
        <f>IF($F129 = "bare", 0, IFERROR(INDEX(carbon!$A$14:$J$93,MATCH("*"&amp;$E129&amp;"*",carbon!$A$14:$A$93,0),4), "NA"))</f>
        <v>NA</v>
      </c>
      <c r="J129" s="66" t="str">
        <f>IF($F129 = "bare", 0, IFERROR(INDEX(carbon!$A$14:$J$93,MATCH("*"&amp;$E129&amp;"*",carbon!$A$14:$A$93,0),6), "NA"))</f>
        <v>NA</v>
      </c>
      <c r="K129" s="66" t="str">
        <f>IF($F129 = "bare", 0, IFERROR(INDEX(carbon!$A$14:$J$93,MATCH("*"&amp;$E129&amp;"*",carbon!$A$14:$A$93,0),8), "NA"))</f>
        <v>NA</v>
      </c>
    </row>
    <row r="130" spans="1:11" ht="15.75" x14ac:dyDescent="0.25">
      <c r="A130" s="30" t="s">
        <v>454</v>
      </c>
      <c r="B130" s="30" t="s">
        <v>455</v>
      </c>
      <c r="C130" s="30" t="s">
        <v>518</v>
      </c>
      <c r="D130" t="s">
        <v>56</v>
      </c>
      <c r="E130" t="str">
        <f t="shared" ref="E130:E161" si="4">CONCATENATE(SUBSTITUTE(D130, " ", "_"), "_", IF(B130 = "Leaves", "A", IF(B130 = "Roots", "B", NA)))</f>
        <v>RG_19_A</v>
      </c>
      <c r="F130" t="str">
        <f>INDEX(raw!$B$2:$I$100,MATCH(data!D130,raw!$B$2:$B$108, 0), MATCH(data!F$1,raw!$B$1:$I$1, 0))</f>
        <v>seagrass</v>
      </c>
      <c r="G130" s="53">
        <f>IFERROR(INDEX(raw!$J$2:$K$86,MATCH(data!D130,raw!$B$2:$B$100,0),MATCH(data!B130,raw!$J$1:$K$1,0)), "NA")</f>
        <v>1701</v>
      </c>
      <c r="H130" s="66" t="str">
        <f>IF($F130 = "bare", 0, IFERROR(INDEX(carbon!$A$14:$J$93,MATCH("*"&amp;$E130&amp;"*",carbon!$A$14:$A$93,0),2), "NA"))</f>
        <v>NA</v>
      </c>
      <c r="I130" s="66" t="str">
        <f>IF($F130 = "bare", 0, IFERROR(INDEX(carbon!$A$14:$J$93,MATCH("*"&amp;$E130&amp;"*",carbon!$A$14:$A$93,0),4), "NA"))</f>
        <v>NA</v>
      </c>
      <c r="J130" s="66" t="str">
        <f>IF($F130 = "bare", 0, IFERROR(INDEX(carbon!$A$14:$J$93,MATCH("*"&amp;$E130&amp;"*",carbon!$A$14:$A$93,0),6), "NA"))</f>
        <v>NA</v>
      </c>
      <c r="K130" s="66" t="str">
        <f>IF($F130 = "bare", 0, IFERROR(INDEX(carbon!$A$14:$J$93,MATCH("*"&amp;$E130&amp;"*",carbon!$A$14:$A$93,0),8), "NA"))</f>
        <v>NA</v>
      </c>
    </row>
    <row r="131" spans="1:11" ht="15.75" x14ac:dyDescent="0.25">
      <c r="A131" s="30" t="s">
        <v>454</v>
      </c>
      <c r="B131" s="30" t="s">
        <v>453</v>
      </c>
      <c r="C131" s="30" t="s">
        <v>518</v>
      </c>
      <c r="D131" t="s">
        <v>56</v>
      </c>
      <c r="E131" t="str">
        <f t="shared" si="4"/>
        <v>RG_19_B</v>
      </c>
      <c r="F131" t="str">
        <f>INDEX(raw!$B$2:$I$100,MATCH(data!D131,raw!$B$2:$B$108, 0), MATCH(data!F$1,raw!$B$1:$I$1, 0))</f>
        <v>seagrass</v>
      </c>
      <c r="G131" s="53">
        <f>IFERROR(INDEX(raw!$J$2:$K$86,MATCH(data!D131,raw!$B$2:$B$100,0),MATCH(data!B131,raw!$J$1:$K$1,0)), "NA")</f>
        <v>1821</v>
      </c>
      <c r="H131" s="66" t="str">
        <f>IF($F131 = "bare", 0, IFERROR(INDEX(carbon!$A$14:$J$93,MATCH("*"&amp;$E131&amp;"*",carbon!$A$14:$A$93,0),2), "NA"))</f>
        <v>NA</v>
      </c>
      <c r="I131" s="66" t="str">
        <f>IF($F131 = "bare", 0, IFERROR(INDEX(carbon!$A$14:$J$93,MATCH("*"&amp;$E131&amp;"*",carbon!$A$14:$A$93,0),4), "NA"))</f>
        <v>NA</v>
      </c>
      <c r="J131" s="66" t="str">
        <f>IF($F131 = "bare", 0, IFERROR(INDEX(carbon!$A$14:$J$93,MATCH("*"&amp;$E131&amp;"*",carbon!$A$14:$A$93,0),6), "NA"))</f>
        <v>NA</v>
      </c>
      <c r="K131" s="66" t="str">
        <f>IF($F131 = "bare", 0, IFERROR(INDEX(carbon!$A$14:$J$93,MATCH("*"&amp;$E131&amp;"*",carbon!$A$14:$A$93,0),8), "NA"))</f>
        <v>NA</v>
      </c>
    </row>
    <row r="132" spans="1:11" ht="15.75" x14ac:dyDescent="0.25">
      <c r="A132" s="30" t="s">
        <v>454</v>
      </c>
      <c r="B132" s="30" t="s">
        <v>455</v>
      </c>
      <c r="C132" s="30" t="s">
        <v>518</v>
      </c>
      <c r="D132" t="s">
        <v>272</v>
      </c>
      <c r="E132" t="str">
        <f t="shared" si="4"/>
        <v>RG_20_A</v>
      </c>
      <c r="F132" t="str">
        <f>INDEX(raw!$B$2:$I$100,MATCH(data!D132,raw!$B$2:$B$108, 0), MATCH(data!F$1,raw!$B$1:$I$1, 0))</f>
        <v>marsh</v>
      </c>
      <c r="G132" s="53" t="str">
        <f>IFERROR(INDEX(raw!$J$2:$K$86,MATCH(data!D132,raw!$B$2:$B$100,0),MATCH(data!B132,raw!$J$1:$K$1,0)), "NA")</f>
        <v>NA</v>
      </c>
      <c r="H132" s="66" t="str">
        <f>IF($F132 = "bare", 0, IFERROR(INDEX(carbon!$A$14:$J$93,MATCH("*"&amp;$E132&amp;"*",carbon!$A$14:$A$93,0),2), "NA"))</f>
        <v>NA</v>
      </c>
      <c r="I132" s="66" t="str">
        <f>IF($F132 = "bare", 0, IFERROR(INDEX(carbon!$A$14:$J$93,MATCH("*"&amp;$E132&amp;"*",carbon!$A$14:$A$93,0),4), "NA"))</f>
        <v>NA</v>
      </c>
      <c r="J132" s="66" t="str">
        <f>IF($F132 = "bare", 0, IFERROR(INDEX(carbon!$A$14:$J$93,MATCH("*"&amp;$E132&amp;"*",carbon!$A$14:$A$93,0),6), "NA"))</f>
        <v>NA</v>
      </c>
      <c r="K132" s="66" t="str">
        <f>IF($F132 = "bare", 0, IFERROR(INDEX(carbon!$A$14:$J$93,MATCH("*"&amp;$E132&amp;"*",carbon!$A$14:$A$93,0),8), "NA"))</f>
        <v>NA</v>
      </c>
    </row>
    <row r="133" spans="1:11" ht="15.75" x14ac:dyDescent="0.25">
      <c r="A133" s="30" t="s">
        <v>454</v>
      </c>
      <c r="B133" s="30" t="s">
        <v>453</v>
      </c>
      <c r="C133" s="30" t="s">
        <v>518</v>
      </c>
      <c r="D133" t="s">
        <v>272</v>
      </c>
      <c r="E133" t="str">
        <f t="shared" si="4"/>
        <v>RG_20_B</v>
      </c>
      <c r="F133" t="str">
        <f>INDEX(raw!$B$2:$I$100,MATCH(data!D133,raw!$B$2:$B$108, 0), MATCH(data!F$1,raw!$B$1:$I$1, 0))</f>
        <v>marsh</v>
      </c>
      <c r="G133" s="53" t="str">
        <f>IFERROR(INDEX(raw!$J$2:$K$86,MATCH(data!D133,raw!$B$2:$B$100,0),MATCH(data!B133,raw!$J$1:$K$1,0)), "NA")</f>
        <v>NA</v>
      </c>
      <c r="H133" s="66" t="str">
        <f>IF($F133 = "bare", 0, IFERROR(INDEX(carbon!$A$14:$J$93,MATCH("*"&amp;$E133&amp;"*",carbon!$A$14:$A$93,0),2), "NA"))</f>
        <v>NA</v>
      </c>
      <c r="I133" s="66" t="str">
        <f>IF($F133 = "bare", 0, IFERROR(INDEX(carbon!$A$14:$J$93,MATCH("*"&amp;$E133&amp;"*",carbon!$A$14:$A$93,0),4), "NA"))</f>
        <v>NA</v>
      </c>
      <c r="J133" s="66" t="str">
        <f>IF($F133 = "bare", 0, IFERROR(INDEX(carbon!$A$14:$J$93,MATCH("*"&amp;$E133&amp;"*",carbon!$A$14:$A$93,0),6), "NA"))</f>
        <v>NA</v>
      </c>
      <c r="K133" s="66" t="str">
        <f>IF($F133 = "bare", 0, IFERROR(INDEX(carbon!$A$14:$J$93,MATCH("*"&amp;$E133&amp;"*",carbon!$A$14:$A$93,0),8), "NA"))</f>
        <v>NA</v>
      </c>
    </row>
    <row r="134" spans="1:11" ht="15.75" x14ac:dyDescent="0.25">
      <c r="A134" s="30" t="s">
        <v>454</v>
      </c>
      <c r="B134" s="30" t="s">
        <v>455</v>
      </c>
      <c r="C134" s="30" t="s">
        <v>518</v>
      </c>
      <c r="D134" t="s">
        <v>80</v>
      </c>
      <c r="E134" t="str">
        <f t="shared" si="4"/>
        <v>RG_21_A</v>
      </c>
      <c r="F134" t="str">
        <f>INDEX(raw!$B$2:$I$100,MATCH(data!D134,raw!$B$2:$B$108, 0), MATCH(data!F$1,raw!$B$1:$I$1, 0))</f>
        <v>bare</v>
      </c>
      <c r="G134" s="53">
        <f>IFERROR(INDEX(raw!$J$2:$K$86,MATCH(data!D134,raw!$B$2:$B$100,0),MATCH(data!B134,raw!$J$1:$K$1,0)), "NA")</f>
        <v>0</v>
      </c>
      <c r="H134" s="66">
        <f>IF($F134 = "bare", 0, IFERROR(INDEX(carbon!$A$14:$J$93,MATCH("*"&amp;$E134&amp;"*",carbon!$A$14:$A$93,0),2), "NA"))</f>
        <v>0</v>
      </c>
      <c r="I134" s="66">
        <f>IF($F134 = "bare", 0, IFERROR(INDEX(carbon!$A$14:$J$93,MATCH("*"&amp;$E134&amp;"*",carbon!$A$14:$A$93,0),4), "NA"))</f>
        <v>0</v>
      </c>
      <c r="J134" s="66">
        <f>IF($F134 = "bare", 0, IFERROR(INDEX(carbon!$A$14:$J$93,MATCH("*"&amp;$E134&amp;"*",carbon!$A$14:$A$93,0),6), "NA"))</f>
        <v>0</v>
      </c>
      <c r="K134" s="66">
        <f>IF($F134 = "bare", 0, IFERROR(INDEX(carbon!$A$14:$J$93,MATCH("*"&amp;$E134&amp;"*",carbon!$A$14:$A$93,0),8), "NA"))</f>
        <v>0</v>
      </c>
    </row>
    <row r="135" spans="1:11" ht="15.75" x14ac:dyDescent="0.25">
      <c r="A135" s="30" t="s">
        <v>454</v>
      </c>
      <c r="B135" s="30" t="s">
        <v>453</v>
      </c>
      <c r="C135" s="30" t="s">
        <v>518</v>
      </c>
      <c r="D135" t="s">
        <v>80</v>
      </c>
      <c r="E135" t="str">
        <f t="shared" si="4"/>
        <v>RG_21_B</v>
      </c>
      <c r="F135" t="str">
        <f>INDEX(raw!$B$2:$I$100,MATCH(data!D135,raw!$B$2:$B$108, 0), MATCH(data!F$1,raw!$B$1:$I$1, 0))</f>
        <v>bare</v>
      </c>
      <c r="G135" s="53">
        <f>IFERROR(INDEX(raw!$J$2:$K$86,MATCH(data!D135,raw!$B$2:$B$100,0),MATCH(data!B135,raw!$J$1:$K$1,0)), "NA")</f>
        <v>0</v>
      </c>
      <c r="H135" s="66">
        <f>IF($F135 = "bare", 0, IFERROR(INDEX(carbon!$A$14:$J$93,MATCH("*"&amp;$E135&amp;"*",carbon!$A$14:$A$93,0),2), "NA"))</f>
        <v>0</v>
      </c>
      <c r="I135" s="66">
        <f>IF($F135 = "bare", 0, IFERROR(INDEX(carbon!$A$14:$J$93,MATCH("*"&amp;$E135&amp;"*",carbon!$A$14:$A$93,0),4), "NA"))</f>
        <v>0</v>
      </c>
      <c r="J135" s="66">
        <f>IF($F135 = "bare", 0, IFERROR(INDEX(carbon!$A$14:$J$93,MATCH("*"&amp;$E135&amp;"*",carbon!$A$14:$A$93,0),6), "NA"))</f>
        <v>0</v>
      </c>
      <c r="K135" s="66">
        <f>IF($F135 = "bare", 0, IFERROR(INDEX(carbon!$A$14:$J$93,MATCH("*"&amp;$E135&amp;"*",carbon!$A$14:$A$93,0),8), "NA"))</f>
        <v>0</v>
      </c>
    </row>
    <row r="136" spans="1:11" ht="15.75" x14ac:dyDescent="0.25">
      <c r="A136" s="30" t="s">
        <v>454</v>
      </c>
      <c r="B136" s="30" t="s">
        <v>455</v>
      </c>
      <c r="C136" s="30" t="s">
        <v>518</v>
      </c>
      <c r="D136" t="s">
        <v>115</v>
      </c>
      <c r="E136" t="str">
        <f t="shared" si="4"/>
        <v>RG_22_A</v>
      </c>
      <c r="F136" t="str">
        <f>INDEX(raw!$B$2:$I$100,MATCH(data!D136,raw!$B$2:$B$108, 0), MATCH(data!F$1,raw!$B$1:$I$1, 0))</f>
        <v>bare</v>
      </c>
      <c r="G136" s="53">
        <f>IFERROR(INDEX(raw!$J$2:$K$86,MATCH(data!D136,raw!$B$2:$B$100,0),MATCH(data!B136,raw!$J$1:$K$1,0)), "NA")</f>
        <v>228</v>
      </c>
      <c r="H136" s="66">
        <f>IF($F136 = "bare", 0, IFERROR(INDEX(carbon!$A$14:$J$93,MATCH("*"&amp;$E136&amp;"*",carbon!$A$14:$A$93,0),2), "NA"))</f>
        <v>0</v>
      </c>
      <c r="I136" s="66">
        <f>IF($F136 = "bare", 0, IFERROR(INDEX(carbon!$A$14:$J$93,MATCH("*"&amp;$E136&amp;"*",carbon!$A$14:$A$93,0),4), "NA"))</f>
        <v>0</v>
      </c>
      <c r="J136" s="66">
        <f>IF($F136 = "bare", 0, IFERROR(INDEX(carbon!$A$14:$J$93,MATCH("*"&amp;$E136&amp;"*",carbon!$A$14:$A$93,0),6), "NA"))</f>
        <v>0</v>
      </c>
      <c r="K136" s="66">
        <f>IF($F136 = "bare", 0, IFERROR(INDEX(carbon!$A$14:$J$93,MATCH("*"&amp;$E136&amp;"*",carbon!$A$14:$A$93,0),8), "NA"))</f>
        <v>0</v>
      </c>
    </row>
    <row r="137" spans="1:11" ht="15.75" x14ac:dyDescent="0.25">
      <c r="A137" s="30" t="s">
        <v>454</v>
      </c>
      <c r="B137" s="30" t="s">
        <v>453</v>
      </c>
      <c r="C137" s="30" t="s">
        <v>518</v>
      </c>
      <c r="D137" t="s">
        <v>115</v>
      </c>
      <c r="E137" t="str">
        <f t="shared" si="4"/>
        <v>RG_22_B</v>
      </c>
      <c r="F137" t="str">
        <f>INDEX(raw!$B$2:$I$100,MATCH(data!D137,raw!$B$2:$B$108, 0), MATCH(data!F$1,raw!$B$1:$I$1, 0))</f>
        <v>bare</v>
      </c>
      <c r="G137" s="53">
        <f>IFERROR(INDEX(raw!$J$2:$K$86,MATCH(data!D137,raw!$B$2:$B$100,0),MATCH(data!B137,raw!$J$1:$K$1,0)), "NA")</f>
        <v>191</v>
      </c>
      <c r="H137" s="66">
        <f>IF($F137 = "bare", 0, IFERROR(INDEX(carbon!$A$14:$J$93,MATCH("*"&amp;$E137&amp;"*",carbon!$A$14:$A$93,0),2), "NA"))</f>
        <v>0</v>
      </c>
      <c r="I137" s="66">
        <f>IF($F137 = "bare", 0, IFERROR(INDEX(carbon!$A$14:$J$93,MATCH("*"&amp;$E137&amp;"*",carbon!$A$14:$A$93,0),4), "NA"))</f>
        <v>0</v>
      </c>
      <c r="J137" s="66">
        <f>IF($F137 = "bare", 0, IFERROR(INDEX(carbon!$A$14:$J$93,MATCH("*"&amp;$E137&amp;"*",carbon!$A$14:$A$93,0),6), "NA"))</f>
        <v>0</v>
      </c>
      <c r="K137" s="66">
        <f>IF($F137 = "bare", 0, IFERROR(INDEX(carbon!$A$14:$J$93,MATCH("*"&amp;$E137&amp;"*",carbon!$A$14:$A$93,0),8), "NA"))</f>
        <v>0</v>
      </c>
    </row>
    <row r="138" spans="1:11" ht="15.75" x14ac:dyDescent="0.25">
      <c r="A138" s="30" t="s">
        <v>454</v>
      </c>
      <c r="B138" s="30" t="s">
        <v>455</v>
      </c>
      <c r="C138" s="30" t="s">
        <v>518</v>
      </c>
      <c r="D138" t="s">
        <v>128</v>
      </c>
      <c r="E138" t="str">
        <f t="shared" si="4"/>
        <v>RG_23_A</v>
      </c>
      <c r="F138" t="str">
        <f>INDEX(raw!$B$2:$I$100,MATCH(data!D138,raw!$B$2:$B$108, 0), MATCH(data!F$1,raw!$B$1:$I$1, 0))</f>
        <v>bare</v>
      </c>
      <c r="G138" s="53">
        <f>IFERROR(INDEX(raw!$J$2:$K$86,MATCH(data!D138,raw!$B$2:$B$100,0),MATCH(data!B138,raw!$J$1:$K$1,0)), "NA")</f>
        <v>0</v>
      </c>
      <c r="H138" s="66">
        <f>IF($F138 = "bare", 0, IFERROR(INDEX(carbon!$A$14:$J$93,MATCH("*"&amp;$E138&amp;"*",carbon!$A$14:$A$93,0),2), "NA"))</f>
        <v>0</v>
      </c>
      <c r="I138" s="66">
        <f>IF($F138 = "bare", 0, IFERROR(INDEX(carbon!$A$14:$J$93,MATCH("*"&amp;$E138&amp;"*",carbon!$A$14:$A$93,0),4), "NA"))</f>
        <v>0</v>
      </c>
      <c r="J138" s="66">
        <f>IF($F138 = "bare", 0, IFERROR(INDEX(carbon!$A$14:$J$93,MATCH("*"&amp;$E138&amp;"*",carbon!$A$14:$A$93,0),6), "NA"))</f>
        <v>0</v>
      </c>
      <c r="K138" s="66">
        <f>IF($F138 = "bare", 0, IFERROR(INDEX(carbon!$A$14:$J$93,MATCH("*"&amp;$E138&amp;"*",carbon!$A$14:$A$93,0),8), "NA"))</f>
        <v>0</v>
      </c>
    </row>
    <row r="139" spans="1:11" ht="15.75" x14ac:dyDescent="0.25">
      <c r="A139" s="30" t="s">
        <v>454</v>
      </c>
      <c r="B139" s="30" t="s">
        <v>453</v>
      </c>
      <c r="C139" s="30" t="s">
        <v>518</v>
      </c>
      <c r="D139" t="s">
        <v>128</v>
      </c>
      <c r="E139" t="str">
        <f t="shared" si="4"/>
        <v>RG_23_B</v>
      </c>
      <c r="F139" t="str">
        <f>INDEX(raw!$B$2:$I$100,MATCH(data!D139,raw!$B$2:$B$108, 0), MATCH(data!F$1,raw!$B$1:$I$1, 0))</f>
        <v>bare</v>
      </c>
      <c r="G139" s="53">
        <f>IFERROR(INDEX(raw!$J$2:$K$86,MATCH(data!D139,raw!$B$2:$B$100,0),MATCH(data!B139,raw!$J$1:$K$1,0)), "NA")</f>
        <v>0</v>
      </c>
      <c r="H139" s="66">
        <f>IF($F139 = "bare", 0, IFERROR(INDEX(carbon!$A$14:$J$93,MATCH("*"&amp;$E139&amp;"*",carbon!$A$14:$A$93,0),2), "NA"))</f>
        <v>0</v>
      </c>
      <c r="I139" s="66">
        <f>IF($F139 = "bare", 0, IFERROR(INDEX(carbon!$A$14:$J$93,MATCH("*"&amp;$E139&amp;"*",carbon!$A$14:$A$93,0),4), "NA"))</f>
        <v>0</v>
      </c>
      <c r="J139" s="66">
        <f>IF($F139 = "bare", 0, IFERROR(INDEX(carbon!$A$14:$J$93,MATCH("*"&amp;$E139&amp;"*",carbon!$A$14:$A$93,0),6), "NA"))</f>
        <v>0</v>
      </c>
      <c r="K139" s="66">
        <f>IF($F139 = "bare", 0, IFERROR(INDEX(carbon!$A$14:$J$93,MATCH("*"&amp;$E139&amp;"*",carbon!$A$14:$A$93,0),8), "NA"))</f>
        <v>0</v>
      </c>
    </row>
    <row r="140" spans="1:11" ht="15.75" x14ac:dyDescent="0.25">
      <c r="A140" s="30" t="s">
        <v>454</v>
      </c>
      <c r="B140" s="30" t="s">
        <v>455</v>
      </c>
      <c r="C140" s="30" t="s">
        <v>518</v>
      </c>
      <c r="D140" t="s">
        <v>156</v>
      </c>
      <c r="E140" t="str">
        <f t="shared" si="4"/>
        <v>RG_24_A</v>
      </c>
      <c r="F140" t="str">
        <f>INDEX(raw!$B$2:$I$100,MATCH(data!D140,raw!$B$2:$B$108, 0), MATCH(data!F$1,raw!$B$1:$I$1, 0))</f>
        <v>seagrass</v>
      </c>
      <c r="G140" s="53">
        <f>IFERROR(INDEX(raw!$J$2:$K$86,MATCH(data!D140,raw!$B$2:$B$100,0),MATCH(data!B140,raw!$J$1:$K$1,0)), "NA")</f>
        <v>400</v>
      </c>
      <c r="H140" s="66">
        <f>IF($F140 = "bare", 0, IFERROR(INDEX(carbon!$A$14:$J$93,MATCH("*"&amp;$E140&amp;"*",carbon!$A$14:$A$93,0),2), "NA"))</f>
        <v>71.72</v>
      </c>
      <c r="I140" s="66">
        <f>IF($F140 = "bare", 0, IFERROR(INDEX(carbon!$A$14:$J$93,MATCH("*"&amp;$E140&amp;"*",carbon!$A$14:$A$93,0),4), "NA"))</f>
        <v>20.49</v>
      </c>
      <c r="J140" s="66">
        <f>IF($F140 = "bare", 0, IFERROR(INDEX(carbon!$A$14:$J$93,MATCH("*"&amp;$E140&amp;"*",carbon!$A$14:$A$93,0),6), "NA"))</f>
        <v>202.43</v>
      </c>
      <c r="K140" s="66">
        <f>IF($F140 = "bare", 0, IFERROR(INDEX(carbon!$A$14:$J$93,MATCH("*"&amp;$E140&amp;"*",carbon!$A$14:$A$93,0),8), "NA"))</f>
        <v>0</v>
      </c>
    </row>
    <row r="141" spans="1:11" ht="15.75" x14ac:dyDescent="0.25">
      <c r="A141" s="30" t="s">
        <v>454</v>
      </c>
      <c r="B141" s="30" t="s">
        <v>453</v>
      </c>
      <c r="C141" s="30" t="s">
        <v>518</v>
      </c>
      <c r="D141" t="s">
        <v>156</v>
      </c>
      <c r="E141" t="str">
        <f t="shared" si="4"/>
        <v>RG_24_B</v>
      </c>
      <c r="F141" t="str">
        <f>INDEX(raw!$B$2:$I$100,MATCH(data!D141,raw!$B$2:$B$108, 0), MATCH(data!F$1,raw!$B$1:$I$1, 0))</f>
        <v>seagrass</v>
      </c>
      <c r="G141" s="53">
        <f>IFERROR(INDEX(raw!$J$2:$K$86,MATCH(data!D141,raw!$B$2:$B$100,0),MATCH(data!B141,raw!$J$1:$K$1,0)), "NA")</f>
        <v>338</v>
      </c>
      <c r="H141" s="66">
        <f>IF($F141 = "bare", 0, IFERROR(INDEX(carbon!$A$14:$J$93,MATCH("*"&amp;$E141&amp;"*",carbon!$A$14:$A$93,0),2), "NA"))</f>
        <v>76.319999999999993</v>
      </c>
      <c r="I141" s="66">
        <f>IF($F141 = "bare", 0, IFERROR(INDEX(carbon!$A$14:$J$93,MATCH("*"&amp;$E141&amp;"*",carbon!$A$14:$A$93,0),4), "NA"))</f>
        <v>14.86</v>
      </c>
      <c r="J141" s="66">
        <f>IF($F141 = "bare", 0, IFERROR(INDEX(carbon!$A$14:$J$93,MATCH("*"&amp;$E141&amp;"*",carbon!$A$14:$A$93,0),6), "NA"))</f>
        <v>188.26</v>
      </c>
      <c r="K141" s="66">
        <f>IF($F141 = "bare", 0, IFERROR(INDEX(carbon!$A$14:$J$93,MATCH("*"&amp;$E141&amp;"*",carbon!$A$14:$A$93,0),8), "NA"))</f>
        <v>0</v>
      </c>
    </row>
    <row r="142" spans="1:11" ht="15.75" x14ac:dyDescent="0.25">
      <c r="A142" s="30" t="s">
        <v>454</v>
      </c>
      <c r="B142" s="30" t="s">
        <v>455</v>
      </c>
      <c r="C142" s="30" t="s">
        <v>518</v>
      </c>
      <c r="D142" t="s">
        <v>14</v>
      </c>
      <c r="E142" t="str">
        <f t="shared" si="4"/>
        <v>RG_25_A</v>
      </c>
      <c r="F142" t="str">
        <f>INDEX(raw!$B$2:$I$100,MATCH(data!D142,raw!$B$2:$B$108, 0), MATCH(data!F$1,raw!$B$1:$I$1, 0))</f>
        <v>algae</v>
      </c>
      <c r="G142" s="53">
        <f>IFERROR(INDEX(raw!$J$2:$K$86,MATCH(data!D142,raw!$B$2:$B$100,0),MATCH(data!B142,raw!$J$1:$K$1,0)), "NA")</f>
        <v>0</v>
      </c>
      <c r="H142" s="66" t="str">
        <f>IF($F142 = "bare", 0, IFERROR(INDEX(carbon!$A$14:$J$93,MATCH("*"&amp;$E142&amp;"*",carbon!$A$14:$A$93,0),2), "NA"))</f>
        <v>NA</v>
      </c>
      <c r="I142" s="66" t="str">
        <f>IF($F142 = "bare", 0, IFERROR(INDEX(carbon!$A$14:$J$93,MATCH("*"&amp;$E142&amp;"*",carbon!$A$14:$A$93,0),4), "NA"))</f>
        <v>NA</v>
      </c>
      <c r="J142" s="66" t="str">
        <f>IF($F142 = "bare", 0, IFERROR(INDEX(carbon!$A$14:$J$93,MATCH("*"&amp;$E142&amp;"*",carbon!$A$14:$A$93,0),6), "NA"))</f>
        <v>NA</v>
      </c>
      <c r="K142" s="66" t="str">
        <f>IF($F142 = "bare", 0, IFERROR(INDEX(carbon!$A$14:$J$93,MATCH("*"&amp;$E142&amp;"*",carbon!$A$14:$A$93,0),8), "NA"))</f>
        <v>NA</v>
      </c>
    </row>
    <row r="143" spans="1:11" ht="15.75" x14ac:dyDescent="0.25">
      <c r="A143" s="30" t="s">
        <v>454</v>
      </c>
      <c r="B143" s="30" t="s">
        <v>453</v>
      </c>
      <c r="C143" s="30" t="s">
        <v>518</v>
      </c>
      <c r="D143" t="s">
        <v>14</v>
      </c>
      <c r="E143" t="str">
        <f t="shared" si="4"/>
        <v>RG_25_B</v>
      </c>
      <c r="F143" t="str">
        <f>INDEX(raw!$B$2:$I$100,MATCH(data!D143,raw!$B$2:$B$108, 0), MATCH(data!F$1,raw!$B$1:$I$1, 0))</f>
        <v>algae</v>
      </c>
      <c r="G143" s="53">
        <f>IFERROR(INDEX(raw!$J$2:$K$86,MATCH(data!D143,raw!$B$2:$B$100,0),MATCH(data!B143,raw!$J$1:$K$1,0)), "NA")</f>
        <v>0</v>
      </c>
      <c r="H143" s="66" t="str">
        <f>IF($F143 = "bare", 0, IFERROR(INDEX(carbon!$A$14:$J$93,MATCH("*"&amp;$E143&amp;"*",carbon!$A$14:$A$93,0),2), "NA"))</f>
        <v>NA</v>
      </c>
      <c r="I143" s="66" t="str">
        <f>IF($F143 = "bare", 0, IFERROR(INDEX(carbon!$A$14:$J$93,MATCH("*"&amp;$E143&amp;"*",carbon!$A$14:$A$93,0),4), "NA"))</f>
        <v>NA</v>
      </c>
      <c r="J143" s="66" t="str">
        <f>IF($F143 = "bare", 0, IFERROR(INDEX(carbon!$A$14:$J$93,MATCH("*"&amp;$E143&amp;"*",carbon!$A$14:$A$93,0),6), "NA"))</f>
        <v>NA</v>
      </c>
      <c r="K143" s="66" t="str">
        <f>IF($F143 = "bare", 0, IFERROR(INDEX(carbon!$A$14:$J$93,MATCH("*"&amp;$E143&amp;"*",carbon!$A$14:$A$93,0),8), "NA"))</f>
        <v>NA</v>
      </c>
    </row>
    <row r="144" spans="1:11" ht="15.75" x14ac:dyDescent="0.25">
      <c r="A144" s="30" t="s">
        <v>454</v>
      </c>
      <c r="B144" s="30" t="s">
        <v>455</v>
      </c>
      <c r="C144" s="30" t="s">
        <v>518</v>
      </c>
      <c r="D144" t="s">
        <v>274</v>
      </c>
      <c r="E144" t="str">
        <f t="shared" si="4"/>
        <v>RG_26_A</v>
      </c>
      <c r="F144" t="str">
        <f>INDEX(raw!$B$2:$I$100,MATCH(data!D144,raw!$B$2:$B$108, 0), MATCH(data!F$1,raw!$B$1:$I$1, 0))</f>
        <v>marsh</v>
      </c>
      <c r="G144" s="53" t="str">
        <f>IFERROR(INDEX(raw!$J$2:$K$86,MATCH(data!D144,raw!$B$2:$B$100,0),MATCH(data!B144,raw!$J$1:$K$1,0)), "NA")</f>
        <v>NA</v>
      </c>
      <c r="H144" s="66" t="str">
        <f>IF($F144 = "bare", 0, IFERROR(INDEX(carbon!$A$14:$J$93,MATCH("*"&amp;$E144&amp;"*",carbon!$A$14:$A$93,0),2), "NA"))</f>
        <v>NA</v>
      </c>
      <c r="I144" s="66" t="str">
        <f>IF($F144 = "bare", 0, IFERROR(INDEX(carbon!$A$14:$J$93,MATCH("*"&amp;$E144&amp;"*",carbon!$A$14:$A$93,0),4), "NA"))</f>
        <v>NA</v>
      </c>
      <c r="J144" s="66" t="str">
        <f>IF($F144 = "bare", 0, IFERROR(INDEX(carbon!$A$14:$J$93,MATCH("*"&amp;$E144&amp;"*",carbon!$A$14:$A$93,0),6), "NA"))</f>
        <v>NA</v>
      </c>
      <c r="K144" s="66" t="str">
        <f>IF($F144 = "bare", 0, IFERROR(INDEX(carbon!$A$14:$J$93,MATCH("*"&amp;$E144&amp;"*",carbon!$A$14:$A$93,0),8), "NA"))</f>
        <v>NA</v>
      </c>
    </row>
    <row r="145" spans="1:11" ht="15.75" x14ac:dyDescent="0.25">
      <c r="A145" s="30" t="s">
        <v>454</v>
      </c>
      <c r="B145" s="30" t="s">
        <v>453</v>
      </c>
      <c r="C145" s="30" t="s">
        <v>518</v>
      </c>
      <c r="D145" t="s">
        <v>274</v>
      </c>
      <c r="E145" t="str">
        <f t="shared" si="4"/>
        <v>RG_26_B</v>
      </c>
      <c r="F145" t="str">
        <f>INDEX(raw!$B$2:$I$100,MATCH(data!D145,raw!$B$2:$B$108, 0), MATCH(data!F$1,raw!$B$1:$I$1, 0))</f>
        <v>marsh</v>
      </c>
      <c r="G145" s="53" t="str">
        <f>IFERROR(INDEX(raw!$J$2:$K$86,MATCH(data!D145,raw!$B$2:$B$100,0),MATCH(data!B145,raw!$J$1:$K$1,0)), "NA")</f>
        <v>NA</v>
      </c>
      <c r="H145" s="66" t="str">
        <f>IF($F145 = "bare", 0, IFERROR(INDEX(carbon!$A$14:$J$93,MATCH("*"&amp;$E145&amp;"*",carbon!$A$14:$A$93,0),2), "NA"))</f>
        <v>NA</v>
      </c>
      <c r="I145" s="66" t="str">
        <f>IF($F145 = "bare", 0, IFERROR(INDEX(carbon!$A$14:$J$93,MATCH("*"&amp;$E145&amp;"*",carbon!$A$14:$A$93,0),4), "NA"))</f>
        <v>NA</v>
      </c>
      <c r="J145" s="66" t="str">
        <f>IF($F145 = "bare", 0, IFERROR(INDEX(carbon!$A$14:$J$93,MATCH("*"&amp;$E145&amp;"*",carbon!$A$14:$A$93,0),6), "NA"))</f>
        <v>NA</v>
      </c>
      <c r="K145" s="66" t="str">
        <f>IF($F145 = "bare", 0, IFERROR(INDEX(carbon!$A$14:$J$93,MATCH("*"&amp;$E145&amp;"*",carbon!$A$14:$A$93,0),8), "NA"))</f>
        <v>NA</v>
      </c>
    </row>
    <row r="146" spans="1:11" ht="15.75" x14ac:dyDescent="0.25">
      <c r="A146" s="30" t="s">
        <v>454</v>
      </c>
      <c r="B146" s="30" t="s">
        <v>455</v>
      </c>
      <c r="C146" s="30" t="s">
        <v>518</v>
      </c>
      <c r="D146" t="s">
        <v>275</v>
      </c>
      <c r="E146" t="str">
        <f t="shared" si="4"/>
        <v>RG_27_A</v>
      </c>
      <c r="F146" t="str">
        <f>INDEX(raw!$B$2:$I$100,MATCH(data!D146,raw!$B$2:$B$108, 0), MATCH(data!F$1,raw!$B$1:$I$1, 0))</f>
        <v>marsh</v>
      </c>
      <c r="G146" s="53" t="str">
        <f>IFERROR(INDEX(raw!$J$2:$K$86,MATCH(data!D146,raw!$B$2:$B$100,0),MATCH(data!B146,raw!$J$1:$K$1,0)), "NA")</f>
        <v>NA</v>
      </c>
      <c r="H146" s="66" t="str">
        <f>IF($F146 = "bare", 0, IFERROR(INDEX(carbon!$A$14:$J$93,MATCH("*"&amp;$E146&amp;"*",carbon!$A$14:$A$93,0),2), "NA"))</f>
        <v>NA</v>
      </c>
      <c r="I146" s="66" t="str">
        <f>IF($F146 = "bare", 0, IFERROR(INDEX(carbon!$A$14:$J$93,MATCH("*"&amp;$E146&amp;"*",carbon!$A$14:$A$93,0),4), "NA"))</f>
        <v>NA</v>
      </c>
      <c r="J146" s="66" t="str">
        <f>IF($F146 = "bare", 0, IFERROR(INDEX(carbon!$A$14:$J$93,MATCH("*"&amp;$E146&amp;"*",carbon!$A$14:$A$93,0),6), "NA"))</f>
        <v>NA</v>
      </c>
      <c r="K146" s="66" t="str">
        <f>IF($F146 = "bare", 0, IFERROR(INDEX(carbon!$A$14:$J$93,MATCH("*"&amp;$E146&amp;"*",carbon!$A$14:$A$93,0),8), "NA"))</f>
        <v>NA</v>
      </c>
    </row>
    <row r="147" spans="1:11" ht="15.75" x14ac:dyDescent="0.25">
      <c r="A147" s="30" t="s">
        <v>454</v>
      </c>
      <c r="B147" s="30" t="s">
        <v>453</v>
      </c>
      <c r="C147" s="30" t="s">
        <v>518</v>
      </c>
      <c r="D147" t="s">
        <v>275</v>
      </c>
      <c r="E147" t="str">
        <f t="shared" si="4"/>
        <v>RG_27_B</v>
      </c>
      <c r="F147" t="str">
        <f>INDEX(raw!$B$2:$I$100,MATCH(data!D147,raw!$B$2:$B$108, 0), MATCH(data!F$1,raw!$B$1:$I$1, 0))</f>
        <v>marsh</v>
      </c>
      <c r="G147" s="53" t="str">
        <f>IFERROR(INDEX(raw!$J$2:$K$86,MATCH(data!D147,raw!$B$2:$B$100,0),MATCH(data!B147,raw!$J$1:$K$1,0)), "NA")</f>
        <v>NA</v>
      </c>
      <c r="H147" s="66" t="str">
        <f>IF($F147 = "bare", 0, IFERROR(INDEX(carbon!$A$14:$J$93,MATCH("*"&amp;$E147&amp;"*",carbon!$A$14:$A$93,0),2), "NA"))</f>
        <v>NA</v>
      </c>
      <c r="I147" s="66" t="str">
        <f>IF($F147 = "bare", 0, IFERROR(INDEX(carbon!$A$14:$J$93,MATCH("*"&amp;$E147&amp;"*",carbon!$A$14:$A$93,0),4), "NA"))</f>
        <v>NA</v>
      </c>
      <c r="J147" s="66" t="str">
        <f>IF($F147 = "bare", 0, IFERROR(INDEX(carbon!$A$14:$J$93,MATCH("*"&amp;$E147&amp;"*",carbon!$A$14:$A$93,0),6), "NA"))</f>
        <v>NA</v>
      </c>
      <c r="K147" s="66" t="str">
        <f>IF($F147 = "bare", 0, IFERROR(INDEX(carbon!$A$14:$J$93,MATCH("*"&amp;$E147&amp;"*",carbon!$A$14:$A$93,0),8), "NA"))</f>
        <v>NA</v>
      </c>
    </row>
    <row r="148" spans="1:11" ht="15.75" x14ac:dyDescent="0.25">
      <c r="A148" s="30" t="s">
        <v>454</v>
      </c>
      <c r="B148" s="30" t="s">
        <v>455</v>
      </c>
      <c r="C148" s="30" t="s">
        <v>518</v>
      </c>
      <c r="D148" t="s">
        <v>276</v>
      </c>
      <c r="E148" t="str">
        <f t="shared" si="4"/>
        <v>RG_28_A</v>
      </c>
      <c r="F148" t="str">
        <f>INDEX(raw!$B$2:$I$100,MATCH(data!D148,raw!$B$2:$B$108, 0), MATCH(data!F$1,raw!$B$1:$I$1, 0))</f>
        <v>marsh</v>
      </c>
      <c r="G148" s="53" t="str">
        <f>IFERROR(INDEX(raw!$J$2:$K$86,MATCH(data!D148,raw!$B$2:$B$100,0),MATCH(data!B148,raw!$J$1:$K$1,0)), "NA")</f>
        <v>NA</v>
      </c>
      <c r="H148" s="66" t="str">
        <f>IF($F148 = "bare", 0, IFERROR(INDEX(carbon!$A$14:$J$93,MATCH("*"&amp;$E148&amp;"*",carbon!$A$14:$A$93,0),2), "NA"))</f>
        <v>NA</v>
      </c>
      <c r="I148" s="66" t="str">
        <f>IF($F148 = "bare", 0, IFERROR(INDEX(carbon!$A$14:$J$93,MATCH("*"&amp;$E148&amp;"*",carbon!$A$14:$A$93,0),4), "NA"))</f>
        <v>NA</v>
      </c>
      <c r="J148" s="66" t="str">
        <f>IF($F148 = "bare", 0, IFERROR(INDEX(carbon!$A$14:$J$93,MATCH("*"&amp;$E148&amp;"*",carbon!$A$14:$A$93,0),6), "NA"))</f>
        <v>NA</v>
      </c>
      <c r="K148" s="66" t="str">
        <f>IF($F148 = "bare", 0, IFERROR(INDEX(carbon!$A$14:$J$93,MATCH("*"&amp;$E148&amp;"*",carbon!$A$14:$A$93,0),8), "NA"))</f>
        <v>NA</v>
      </c>
    </row>
    <row r="149" spans="1:11" ht="15.75" x14ac:dyDescent="0.25">
      <c r="A149" s="30" t="s">
        <v>454</v>
      </c>
      <c r="B149" s="30" t="s">
        <v>453</v>
      </c>
      <c r="C149" s="30" t="s">
        <v>518</v>
      </c>
      <c r="D149" t="s">
        <v>276</v>
      </c>
      <c r="E149" t="str">
        <f t="shared" si="4"/>
        <v>RG_28_B</v>
      </c>
      <c r="F149" t="str">
        <f>INDEX(raw!$B$2:$I$100,MATCH(data!D149,raw!$B$2:$B$108, 0), MATCH(data!F$1,raw!$B$1:$I$1, 0))</f>
        <v>marsh</v>
      </c>
      <c r="G149" s="53" t="str">
        <f>IFERROR(INDEX(raw!$J$2:$K$86,MATCH(data!D149,raw!$B$2:$B$100,0),MATCH(data!B149,raw!$J$1:$K$1,0)), "NA")</f>
        <v>NA</v>
      </c>
      <c r="H149" s="66" t="str">
        <f>IF($F149 = "bare", 0, IFERROR(INDEX(carbon!$A$14:$J$93,MATCH("*"&amp;$E149&amp;"*",carbon!$A$14:$A$93,0),2), "NA"))</f>
        <v>NA</v>
      </c>
      <c r="I149" s="66" t="str">
        <f>IF($F149 = "bare", 0, IFERROR(INDEX(carbon!$A$14:$J$93,MATCH("*"&amp;$E149&amp;"*",carbon!$A$14:$A$93,0),4), "NA"))</f>
        <v>NA</v>
      </c>
      <c r="J149" s="66" t="str">
        <f>IF($F149 = "bare", 0, IFERROR(INDEX(carbon!$A$14:$J$93,MATCH("*"&amp;$E149&amp;"*",carbon!$A$14:$A$93,0),6), "NA"))</f>
        <v>NA</v>
      </c>
      <c r="K149" s="66" t="str">
        <f>IF($F149 = "bare", 0, IFERROR(INDEX(carbon!$A$14:$J$93,MATCH("*"&amp;$E149&amp;"*",carbon!$A$14:$A$93,0),8), "NA"))</f>
        <v>NA</v>
      </c>
    </row>
    <row r="150" spans="1:11" ht="15.75" x14ac:dyDescent="0.25">
      <c r="A150" s="30" t="s">
        <v>454</v>
      </c>
      <c r="B150" s="30" t="s">
        <v>455</v>
      </c>
      <c r="C150" s="30" t="s">
        <v>518</v>
      </c>
      <c r="D150" t="s">
        <v>277</v>
      </c>
      <c r="E150" t="str">
        <f t="shared" si="4"/>
        <v>RG_29_A</v>
      </c>
      <c r="F150" t="str">
        <f>INDEX(raw!$B$2:$I$100,MATCH(data!D150,raw!$B$2:$B$108, 0), MATCH(data!F$1,raw!$B$1:$I$1, 0))</f>
        <v>marsh</v>
      </c>
      <c r="G150" s="53" t="str">
        <f>IFERROR(INDEX(raw!$J$2:$K$86,MATCH(data!D150,raw!$B$2:$B$100,0),MATCH(data!B150,raw!$J$1:$K$1,0)), "NA")</f>
        <v>NA</v>
      </c>
      <c r="H150" s="66" t="str">
        <f>IF($F150 = "bare", 0, IFERROR(INDEX(carbon!$A$14:$J$93,MATCH("*"&amp;$E150&amp;"*",carbon!$A$14:$A$93,0),2), "NA"))</f>
        <v>NA</v>
      </c>
      <c r="I150" s="66" t="str">
        <f>IF($F150 = "bare", 0, IFERROR(INDEX(carbon!$A$14:$J$93,MATCH("*"&amp;$E150&amp;"*",carbon!$A$14:$A$93,0),4), "NA"))</f>
        <v>NA</v>
      </c>
      <c r="J150" s="66" t="str">
        <f>IF($F150 = "bare", 0, IFERROR(INDEX(carbon!$A$14:$J$93,MATCH("*"&amp;$E150&amp;"*",carbon!$A$14:$A$93,0),6), "NA"))</f>
        <v>NA</v>
      </c>
      <c r="K150" s="66" t="str">
        <f>IF($F150 = "bare", 0, IFERROR(INDEX(carbon!$A$14:$J$93,MATCH("*"&amp;$E150&amp;"*",carbon!$A$14:$A$93,0),8), "NA"))</f>
        <v>NA</v>
      </c>
    </row>
    <row r="151" spans="1:11" ht="15.75" x14ac:dyDescent="0.25">
      <c r="A151" s="30" t="s">
        <v>454</v>
      </c>
      <c r="B151" s="30" t="s">
        <v>453</v>
      </c>
      <c r="C151" s="30" t="s">
        <v>518</v>
      </c>
      <c r="D151" t="s">
        <v>277</v>
      </c>
      <c r="E151" t="str">
        <f t="shared" si="4"/>
        <v>RG_29_B</v>
      </c>
      <c r="F151" t="str">
        <f>INDEX(raw!$B$2:$I$100,MATCH(data!D151,raw!$B$2:$B$108, 0), MATCH(data!F$1,raw!$B$1:$I$1, 0))</f>
        <v>marsh</v>
      </c>
      <c r="G151" s="53" t="str">
        <f>IFERROR(INDEX(raw!$J$2:$K$86,MATCH(data!D151,raw!$B$2:$B$100,0),MATCH(data!B151,raw!$J$1:$K$1,0)), "NA")</f>
        <v>NA</v>
      </c>
      <c r="H151" s="66" t="str">
        <f>IF($F151 = "bare", 0, IFERROR(INDEX(carbon!$A$14:$J$93,MATCH("*"&amp;$E151&amp;"*",carbon!$A$14:$A$93,0),2), "NA"))</f>
        <v>NA</v>
      </c>
      <c r="I151" s="66" t="str">
        <f>IF($F151 = "bare", 0, IFERROR(INDEX(carbon!$A$14:$J$93,MATCH("*"&amp;$E151&amp;"*",carbon!$A$14:$A$93,0),4), "NA"))</f>
        <v>NA</v>
      </c>
      <c r="J151" s="66" t="str">
        <f>IF($F151 = "bare", 0, IFERROR(INDEX(carbon!$A$14:$J$93,MATCH("*"&amp;$E151&amp;"*",carbon!$A$14:$A$93,0),6), "NA"))</f>
        <v>NA</v>
      </c>
      <c r="K151" s="66" t="str">
        <f>IF($F151 = "bare", 0, IFERROR(INDEX(carbon!$A$14:$J$93,MATCH("*"&amp;$E151&amp;"*",carbon!$A$14:$A$93,0),8), "NA"))</f>
        <v>NA</v>
      </c>
    </row>
    <row r="152" spans="1:11" ht="15.75" x14ac:dyDescent="0.25">
      <c r="A152" s="30" t="s">
        <v>454</v>
      </c>
      <c r="B152" s="30" t="s">
        <v>455</v>
      </c>
      <c r="C152" s="30" t="s">
        <v>518</v>
      </c>
      <c r="D152" t="s">
        <v>278</v>
      </c>
      <c r="E152" t="str">
        <f t="shared" si="4"/>
        <v>RG_30_A</v>
      </c>
      <c r="F152" t="str">
        <f>INDEX(raw!$B$2:$I$100,MATCH(data!D152,raw!$B$2:$B$108, 0), MATCH(data!F$1,raw!$B$1:$I$1, 0))</f>
        <v>marsh</v>
      </c>
      <c r="G152" s="53" t="str">
        <f>IFERROR(INDEX(raw!$J$2:$K$86,MATCH(data!D152,raw!$B$2:$B$100,0),MATCH(data!B152,raw!$J$1:$K$1,0)), "NA")</f>
        <v>NA</v>
      </c>
      <c r="H152" s="66" t="str">
        <f>IF($F152 = "bare", 0, IFERROR(INDEX(carbon!$A$14:$J$93,MATCH("*"&amp;$E152&amp;"*",carbon!$A$14:$A$93,0),2), "NA"))</f>
        <v>NA</v>
      </c>
      <c r="I152" s="66" t="str">
        <f>IF($F152 = "bare", 0, IFERROR(INDEX(carbon!$A$14:$J$93,MATCH("*"&amp;$E152&amp;"*",carbon!$A$14:$A$93,0),4), "NA"))</f>
        <v>NA</v>
      </c>
      <c r="J152" s="66" t="str">
        <f>IF($F152 = "bare", 0, IFERROR(INDEX(carbon!$A$14:$J$93,MATCH("*"&amp;$E152&amp;"*",carbon!$A$14:$A$93,0),6), "NA"))</f>
        <v>NA</v>
      </c>
      <c r="K152" s="66" t="str">
        <f>IF($F152 = "bare", 0, IFERROR(INDEX(carbon!$A$14:$J$93,MATCH("*"&amp;$E152&amp;"*",carbon!$A$14:$A$93,0),8), "NA"))</f>
        <v>NA</v>
      </c>
    </row>
    <row r="153" spans="1:11" ht="15.75" x14ac:dyDescent="0.25">
      <c r="A153" s="30" t="s">
        <v>454</v>
      </c>
      <c r="B153" s="30" t="s">
        <v>453</v>
      </c>
      <c r="C153" s="30" t="s">
        <v>518</v>
      </c>
      <c r="D153" t="s">
        <v>278</v>
      </c>
      <c r="E153" t="str">
        <f t="shared" si="4"/>
        <v>RG_30_B</v>
      </c>
      <c r="F153" t="str">
        <f>INDEX(raw!$B$2:$I$100,MATCH(data!D153,raw!$B$2:$B$108, 0), MATCH(data!F$1,raw!$B$1:$I$1, 0))</f>
        <v>marsh</v>
      </c>
      <c r="G153" s="53" t="str">
        <f>IFERROR(INDEX(raw!$J$2:$K$86,MATCH(data!D153,raw!$B$2:$B$100,0),MATCH(data!B153,raw!$J$1:$K$1,0)), "NA")</f>
        <v>NA</v>
      </c>
      <c r="H153" s="66" t="str">
        <f>IF($F153 = "bare", 0, IFERROR(INDEX(carbon!$A$14:$J$93,MATCH("*"&amp;$E153&amp;"*",carbon!$A$14:$A$93,0),2), "NA"))</f>
        <v>NA</v>
      </c>
      <c r="I153" s="66" t="str">
        <f>IF($F153 = "bare", 0, IFERROR(INDEX(carbon!$A$14:$J$93,MATCH("*"&amp;$E153&amp;"*",carbon!$A$14:$A$93,0),4), "NA"))</f>
        <v>NA</v>
      </c>
      <c r="J153" s="66" t="str">
        <f>IF($F153 = "bare", 0, IFERROR(INDEX(carbon!$A$14:$J$93,MATCH("*"&amp;$E153&amp;"*",carbon!$A$14:$A$93,0),6), "NA"))</f>
        <v>NA</v>
      </c>
      <c r="K153" s="66" t="str">
        <f>IF($F153 = "bare", 0, IFERROR(INDEX(carbon!$A$14:$J$93,MATCH("*"&amp;$E153&amp;"*",carbon!$A$14:$A$93,0),8), "NA"))</f>
        <v>NA</v>
      </c>
    </row>
    <row r="154" spans="1:11" ht="15.75" x14ac:dyDescent="0.25">
      <c r="A154" s="30" t="s">
        <v>454</v>
      </c>
      <c r="B154" s="30" t="s">
        <v>455</v>
      </c>
      <c r="C154" s="30" t="s">
        <v>518</v>
      </c>
      <c r="D154" t="s">
        <v>125</v>
      </c>
      <c r="E154" t="str">
        <f t="shared" si="4"/>
        <v>RG_31_A</v>
      </c>
      <c r="F154" t="str">
        <f>INDEX(raw!$B$2:$I$100,MATCH(data!D154,raw!$B$2:$B$108, 0), MATCH(data!F$1,raw!$B$1:$I$1, 0))</f>
        <v>bare</v>
      </c>
      <c r="G154" s="53">
        <f>IFERROR(INDEX(raw!$J$2:$K$86,MATCH(data!D154,raw!$B$2:$B$100,0),MATCH(data!B154,raw!$J$1:$K$1,0)), "NA")</f>
        <v>0</v>
      </c>
      <c r="H154" s="66">
        <f>IF($F154 = "bare", 0, IFERROR(INDEX(carbon!$A$14:$J$93,MATCH("*"&amp;$E154&amp;"*",carbon!$A$14:$A$93,0),2), "NA"))</f>
        <v>0</v>
      </c>
      <c r="I154" s="66">
        <f>IF($F154 = "bare", 0, IFERROR(INDEX(carbon!$A$14:$J$93,MATCH("*"&amp;$E154&amp;"*",carbon!$A$14:$A$93,0),4), "NA"))</f>
        <v>0</v>
      </c>
      <c r="J154" s="66">
        <f>IF($F154 = "bare", 0, IFERROR(INDEX(carbon!$A$14:$J$93,MATCH("*"&amp;$E154&amp;"*",carbon!$A$14:$A$93,0),6), "NA"))</f>
        <v>0</v>
      </c>
      <c r="K154" s="66">
        <f>IF($F154 = "bare", 0, IFERROR(INDEX(carbon!$A$14:$J$93,MATCH("*"&amp;$E154&amp;"*",carbon!$A$14:$A$93,0),8), "NA"))</f>
        <v>0</v>
      </c>
    </row>
    <row r="155" spans="1:11" ht="15.75" x14ac:dyDescent="0.25">
      <c r="A155" s="30" t="s">
        <v>454</v>
      </c>
      <c r="B155" s="30" t="s">
        <v>453</v>
      </c>
      <c r="C155" s="30" t="s">
        <v>518</v>
      </c>
      <c r="D155" t="s">
        <v>125</v>
      </c>
      <c r="E155" t="str">
        <f t="shared" si="4"/>
        <v>RG_31_B</v>
      </c>
      <c r="F155" t="str">
        <f>INDEX(raw!$B$2:$I$100,MATCH(data!D155,raw!$B$2:$B$108, 0), MATCH(data!F$1,raw!$B$1:$I$1, 0))</f>
        <v>bare</v>
      </c>
      <c r="G155" s="53">
        <f>IFERROR(INDEX(raw!$J$2:$K$86,MATCH(data!D155,raw!$B$2:$B$100,0),MATCH(data!B155,raw!$J$1:$K$1,0)), "NA")</f>
        <v>0</v>
      </c>
      <c r="H155" s="66">
        <f>IF($F155 = "bare", 0, IFERROR(INDEX(carbon!$A$14:$J$93,MATCH("*"&amp;$E155&amp;"*",carbon!$A$14:$A$93,0),2), "NA"))</f>
        <v>0</v>
      </c>
      <c r="I155" s="66">
        <f>IF($F155 = "bare", 0, IFERROR(INDEX(carbon!$A$14:$J$93,MATCH("*"&amp;$E155&amp;"*",carbon!$A$14:$A$93,0),4), "NA"))</f>
        <v>0</v>
      </c>
      <c r="J155" s="66">
        <f>IF($F155 = "bare", 0, IFERROR(INDEX(carbon!$A$14:$J$93,MATCH("*"&amp;$E155&amp;"*",carbon!$A$14:$A$93,0),6), "NA"))</f>
        <v>0</v>
      </c>
      <c r="K155" s="66">
        <f>IF($F155 = "bare", 0, IFERROR(INDEX(carbon!$A$14:$J$93,MATCH("*"&amp;$E155&amp;"*",carbon!$A$14:$A$93,0),8), "NA"))</f>
        <v>0</v>
      </c>
    </row>
    <row r="156" spans="1:11" ht="15.75" x14ac:dyDescent="0.25">
      <c r="A156" s="30" t="s">
        <v>454</v>
      </c>
      <c r="B156" s="30" t="s">
        <v>455</v>
      </c>
      <c r="C156" s="30" t="s">
        <v>518</v>
      </c>
      <c r="D156" t="s">
        <v>279</v>
      </c>
      <c r="E156" t="str">
        <f t="shared" si="4"/>
        <v>RG_32_A</v>
      </c>
      <c r="F156" t="str">
        <f>INDEX(raw!$B$2:$I$100,MATCH(data!D156,raw!$B$2:$B$108, 0), MATCH(data!F$1,raw!$B$1:$I$1, 0))</f>
        <v>marsh</v>
      </c>
      <c r="G156" s="53" t="str">
        <f>IFERROR(INDEX(raw!$J$2:$K$86,MATCH(data!D156,raw!$B$2:$B$100,0),MATCH(data!B156,raw!$J$1:$K$1,0)), "NA")</f>
        <v>NA</v>
      </c>
      <c r="H156" s="66" t="str">
        <f>IF($F156 = "bare", 0, IFERROR(INDEX(carbon!$A$14:$J$93,MATCH("*"&amp;$E156&amp;"*",carbon!$A$14:$A$93,0),2), "NA"))</f>
        <v>NA</v>
      </c>
      <c r="I156" s="66" t="str">
        <f>IF($F156 = "bare", 0, IFERROR(INDEX(carbon!$A$14:$J$93,MATCH("*"&amp;$E156&amp;"*",carbon!$A$14:$A$93,0),4), "NA"))</f>
        <v>NA</v>
      </c>
      <c r="J156" s="66" t="str">
        <f>IF($F156 = "bare", 0, IFERROR(INDEX(carbon!$A$14:$J$93,MATCH("*"&amp;$E156&amp;"*",carbon!$A$14:$A$93,0),6), "NA"))</f>
        <v>NA</v>
      </c>
      <c r="K156" s="66" t="str">
        <f>IF($F156 = "bare", 0, IFERROR(INDEX(carbon!$A$14:$J$93,MATCH("*"&amp;$E156&amp;"*",carbon!$A$14:$A$93,0),8), "NA"))</f>
        <v>NA</v>
      </c>
    </row>
    <row r="157" spans="1:11" ht="15.75" x14ac:dyDescent="0.25">
      <c r="A157" s="30" t="s">
        <v>454</v>
      </c>
      <c r="B157" s="30" t="s">
        <v>453</v>
      </c>
      <c r="C157" s="30" t="s">
        <v>518</v>
      </c>
      <c r="D157" t="s">
        <v>279</v>
      </c>
      <c r="E157" t="str">
        <f t="shared" si="4"/>
        <v>RG_32_B</v>
      </c>
      <c r="F157" t="str">
        <f>INDEX(raw!$B$2:$I$100,MATCH(data!D157,raw!$B$2:$B$108, 0), MATCH(data!F$1,raw!$B$1:$I$1, 0))</f>
        <v>marsh</v>
      </c>
      <c r="G157" s="53" t="str">
        <f>IFERROR(INDEX(raw!$J$2:$K$86,MATCH(data!D157,raw!$B$2:$B$100,0),MATCH(data!B157,raw!$J$1:$K$1,0)), "NA")</f>
        <v>NA</v>
      </c>
      <c r="H157" s="66" t="str">
        <f>IF($F157 = "bare", 0, IFERROR(INDEX(carbon!$A$14:$J$93,MATCH("*"&amp;$E157&amp;"*",carbon!$A$14:$A$93,0),2), "NA"))</f>
        <v>NA</v>
      </c>
      <c r="I157" s="66" t="str">
        <f>IF($F157 = "bare", 0, IFERROR(INDEX(carbon!$A$14:$J$93,MATCH("*"&amp;$E157&amp;"*",carbon!$A$14:$A$93,0),4), "NA"))</f>
        <v>NA</v>
      </c>
      <c r="J157" s="66" t="str">
        <f>IF($F157 = "bare", 0, IFERROR(INDEX(carbon!$A$14:$J$93,MATCH("*"&amp;$E157&amp;"*",carbon!$A$14:$A$93,0),6), "NA"))</f>
        <v>NA</v>
      </c>
      <c r="K157" s="66" t="str">
        <f>IF($F157 = "bare", 0, IFERROR(INDEX(carbon!$A$14:$J$93,MATCH("*"&amp;$E157&amp;"*",carbon!$A$14:$A$93,0),8), "NA"))</f>
        <v>NA</v>
      </c>
    </row>
    <row r="158" spans="1:11" ht="15.75" x14ac:dyDescent="0.25">
      <c r="A158" s="30" t="s">
        <v>454</v>
      </c>
      <c r="B158" s="30" t="s">
        <v>455</v>
      </c>
      <c r="C158" s="30" t="s">
        <v>518</v>
      </c>
      <c r="D158" t="s">
        <v>280</v>
      </c>
      <c r="E158" t="str">
        <f t="shared" si="4"/>
        <v>RR_33_A</v>
      </c>
      <c r="F158" t="str">
        <f>INDEX(raw!$B$2:$I$100,MATCH(data!D158,raw!$B$2:$B$108, 0), MATCH(data!F$1,raw!$B$1:$I$1, 0))</f>
        <v>creek</v>
      </c>
      <c r="G158" s="53" t="str">
        <f>IFERROR(INDEX(raw!$J$2:$K$86,MATCH(data!D158,raw!$B$2:$B$100,0),MATCH(data!B158,raw!$J$1:$K$1,0)), "NA")</f>
        <v>NA</v>
      </c>
      <c r="H158" s="66" t="str">
        <f>IF($F158 = "bare", 0, IFERROR(INDEX(carbon!$A$14:$J$93,MATCH("*"&amp;$E158&amp;"*",carbon!$A$14:$A$93,0),2), "NA"))</f>
        <v>NA</v>
      </c>
      <c r="I158" s="66" t="str">
        <f>IF($F158 = "bare", 0, IFERROR(INDEX(carbon!$A$14:$J$93,MATCH("*"&amp;$E158&amp;"*",carbon!$A$14:$A$93,0),4), "NA"))</f>
        <v>NA</v>
      </c>
      <c r="J158" s="66" t="str">
        <f>IF($F158 = "bare", 0, IFERROR(INDEX(carbon!$A$14:$J$93,MATCH("*"&amp;$E158&amp;"*",carbon!$A$14:$A$93,0),6), "NA"))</f>
        <v>NA</v>
      </c>
      <c r="K158" s="66" t="str">
        <f>IF($F158 = "bare", 0, IFERROR(INDEX(carbon!$A$14:$J$93,MATCH("*"&amp;$E158&amp;"*",carbon!$A$14:$A$93,0),8), "NA"))</f>
        <v>NA</v>
      </c>
    </row>
    <row r="159" spans="1:11" ht="15.75" x14ac:dyDescent="0.25">
      <c r="A159" s="30" t="s">
        <v>454</v>
      </c>
      <c r="B159" s="30" t="s">
        <v>453</v>
      </c>
      <c r="C159" s="30" t="s">
        <v>518</v>
      </c>
      <c r="D159" t="s">
        <v>280</v>
      </c>
      <c r="E159" t="str">
        <f t="shared" si="4"/>
        <v>RR_33_B</v>
      </c>
      <c r="F159" t="str">
        <f>INDEX(raw!$B$2:$I$100,MATCH(data!D159,raw!$B$2:$B$108, 0), MATCH(data!F$1,raw!$B$1:$I$1, 0))</f>
        <v>creek</v>
      </c>
      <c r="G159" s="53" t="str">
        <f>IFERROR(INDEX(raw!$J$2:$K$86,MATCH(data!D159,raw!$B$2:$B$100,0),MATCH(data!B159,raw!$J$1:$K$1,0)), "NA")</f>
        <v>NA</v>
      </c>
      <c r="H159" s="66" t="str">
        <f>IF($F159 = "bare", 0, IFERROR(INDEX(carbon!$A$14:$J$93,MATCH("*"&amp;$E159&amp;"*",carbon!$A$14:$A$93,0),2), "NA"))</f>
        <v>NA</v>
      </c>
      <c r="I159" s="66" t="str">
        <f>IF($F159 = "bare", 0, IFERROR(INDEX(carbon!$A$14:$J$93,MATCH("*"&amp;$E159&amp;"*",carbon!$A$14:$A$93,0),4), "NA"))</f>
        <v>NA</v>
      </c>
      <c r="J159" s="66" t="str">
        <f>IF($F159 = "bare", 0, IFERROR(INDEX(carbon!$A$14:$J$93,MATCH("*"&amp;$E159&amp;"*",carbon!$A$14:$A$93,0),6), "NA"))</f>
        <v>NA</v>
      </c>
      <c r="K159" s="66" t="str">
        <f>IF($F159 = "bare", 0, IFERROR(INDEX(carbon!$A$14:$J$93,MATCH("*"&amp;$E159&amp;"*",carbon!$A$14:$A$93,0),8), "NA"))</f>
        <v>NA</v>
      </c>
    </row>
    <row r="160" spans="1:11" ht="15.75" x14ac:dyDescent="0.25">
      <c r="A160" s="30" t="s">
        <v>454</v>
      </c>
      <c r="B160" s="30" t="s">
        <v>455</v>
      </c>
      <c r="C160" s="30" t="s">
        <v>518</v>
      </c>
      <c r="D160" t="s">
        <v>62</v>
      </c>
      <c r="E160" t="str">
        <f t="shared" si="4"/>
        <v>RR_34_A</v>
      </c>
      <c r="F160" t="str">
        <f>INDEX(raw!$B$2:$I$100,MATCH(data!D160,raw!$B$2:$B$108, 0), MATCH(data!F$1,raw!$B$1:$I$1, 0))</f>
        <v>algae</v>
      </c>
      <c r="G160" s="53">
        <f>IFERROR(INDEX(raw!$J$2:$K$86,MATCH(data!D160,raw!$B$2:$B$100,0),MATCH(data!B160,raw!$J$1:$K$1,0)), "NA")</f>
        <v>31</v>
      </c>
      <c r="H160" s="66" t="str">
        <f>IF($F160 = "bare", 0, IFERROR(INDEX(carbon!$A$14:$J$93,MATCH("*"&amp;$E160&amp;"*",carbon!$A$14:$A$93,0),2), "NA"))</f>
        <v>NA</v>
      </c>
      <c r="I160" s="66" t="str">
        <f>IF($F160 = "bare", 0, IFERROR(INDEX(carbon!$A$14:$J$93,MATCH("*"&amp;$E160&amp;"*",carbon!$A$14:$A$93,0),4), "NA"))</f>
        <v>NA</v>
      </c>
      <c r="J160" s="66" t="str">
        <f>IF($F160 = "bare", 0, IFERROR(INDEX(carbon!$A$14:$J$93,MATCH("*"&amp;$E160&amp;"*",carbon!$A$14:$A$93,0),6), "NA"))</f>
        <v>NA</v>
      </c>
      <c r="K160" s="66" t="str">
        <f>IF($F160 = "bare", 0, IFERROR(INDEX(carbon!$A$14:$J$93,MATCH("*"&amp;$E160&amp;"*",carbon!$A$14:$A$93,0),8), "NA"))</f>
        <v>NA</v>
      </c>
    </row>
    <row r="161" spans="1:11" ht="15.75" x14ac:dyDescent="0.25">
      <c r="A161" s="30" t="s">
        <v>454</v>
      </c>
      <c r="B161" s="30" t="s">
        <v>453</v>
      </c>
      <c r="C161" s="30" t="s">
        <v>518</v>
      </c>
      <c r="D161" t="s">
        <v>62</v>
      </c>
      <c r="E161" t="str">
        <f t="shared" si="4"/>
        <v>RR_34_B</v>
      </c>
      <c r="F161" t="str">
        <f>INDEX(raw!$B$2:$I$100,MATCH(data!D161,raw!$B$2:$B$108, 0), MATCH(data!F$1,raw!$B$1:$I$1, 0))</f>
        <v>algae</v>
      </c>
      <c r="G161" s="53">
        <f>IFERROR(INDEX(raw!$J$2:$K$86,MATCH(data!D161,raw!$B$2:$B$100,0),MATCH(data!B161,raw!$J$1:$K$1,0)), "NA")</f>
        <v>189</v>
      </c>
      <c r="H161" s="66" t="str">
        <f>IF($F161 = "bare", 0, IFERROR(INDEX(carbon!$A$14:$J$93,MATCH("*"&amp;$E161&amp;"*",carbon!$A$14:$A$93,0),2), "NA"))</f>
        <v>NA</v>
      </c>
      <c r="I161" s="66" t="str">
        <f>IF($F161 = "bare", 0, IFERROR(INDEX(carbon!$A$14:$J$93,MATCH("*"&amp;$E161&amp;"*",carbon!$A$14:$A$93,0),4), "NA"))</f>
        <v>NA</v>
      </c>
      <c r="J161" s="66" t="str">
        <f>IF($F161 = "bare", 0, IFERROR(INDEX(carbon!$A$14:$J$93,MATCH("*"&amp;$E161&amp;"*",carbon!$A$14:$A$93,0),6), "NA"))</f>
        <v>NA</v>
      </c>
      <c r="K161" s="66" t="str">
        <f>IF($F161 = "bare", 0, IFERROR(INDEX(carbon!$A$14:$J$93,MATCH("*"&amp;$E161&amp;"*",carbon!$A$14:$A$93,0),8), "NA"))</f>
        <v>NA</v>
      </c>
    </row>
    <row r="162" spans="1:11" ht="15.75" x14ac:dyDescent="0.25">
      <c r="A162" s="30" t="s">
        <v>454</v>
      </c>
      <c r="B162" s="30" t="s">
        <v>455</v>
      </c>
      <c r="C162" s="30" t="s">
        <v>518</v>
      </c>
      <c r="D162" t="s">
        <v>72</v>
      </c>
      <c r="E162" t="str">
        <f t="shared" ref="E162:E193" si="5">CONCATENATE(SUBSTITUTE(D162, " ", "_"), "_", IF(B162 = "Leaves", "A", IF(B162 = "Roots", "B", NA)))</f>
        <v>RR_35_A</v>
      </c>
      <c r="F162" t="str">
        <f>INDEX(raw!$B$2:$I$100,MATCH(data!D162,raw!$B$2:$B$108, 0), MATCH(data!F$1,raw!$B$1:$I$1, 0))</f>
        <v>seagrass</v>
      </c>
      <c r="G162" s="53">
        <f>IFERROR(INDEX(raw!$J$2:$K$86,MATCH(data!D162,raw!$B$2:$B$100,0),MATCH(data!B162,raw!$J$1:$K$1,0)), "NA")</f>
        <v>2523</v>
      </c>
      <c r="H162" s="66" t="str">
        <f>IF($F162 = "bare", 0, IFERROR(INDEX(carbon!$A$14:$J$93,MATCH("*"&amp;$E162&amp;"*",carbon!$A$14:$A$93,0),2), "NA"))</f>
        <v>NA</v>
      </c>
      <c r="I162" s="66" t="str">
        <f>IF($F162 = "bare", 0, IFERROR(INDEX(carbon!$A$14:$J$93,MATCH("*"&amp;$E162&amp;"*",carbon!$A$14:$A$93,0),4), "NA"))</f>
        <v>NA</v>
      </c>
      <c r="J162" s="66" t="str">
        <f>IF($F162 = "bare", 0, IFERROR(INDEX(carbon!$A$14:$J$93,MATCH("*"&amp;$E162&amp;"*",carbon!$A$14:$A$93,0),6), "NA"))</f>
        <v>NA</v>
      </c>
      <c r="K162" s="66" t="str">
        <f>IF($F162 = "bare", 0, IFERROR(INDEX(carbon!$A$14:$J$93,MATCH("*"&amp;$E162&amp;"*",carbon!$A$14:$A$93,0),8), "NA"))</f>
        <v>NA</v>
      </c>
    </row>
    <row r="163" spans="1:11" ht="15.75" x14ac:dyDescent="0.25">
      <c r="A163" s="30" t="s">
        <v>454</v>
      </c>
      <c r="B163" s="30" t="s">
        <v>453</v>
      </c>
      <c r="C163" s="30" t="s">
        <v>518</v>
      </c>
      <c r="D163" t="s">
        <v>72</v>
      </c>
      <c r="E163" t="str">
        <f t="shared" si="5"/>
        <v>RR_35_B</v>
      </c>
      <c r="F163" t="str">
        <f>INDEX(raw!$B$2:$I$100,MATCH(data!D163,raw!$B$2:$B$108, 0), MATCH(data!F$1,raw!$B$1:$I$1, 0))</f>
        <v>seagrass</v>
      </c>
      <c r="G163" s="53">
        <f>IFERROR(INDEX(raw!$J$2:$K$86,MATCH(data!D163,raw!$B$2:$B$100,0),MATCH(data!B163,raw!$J$1:$K$1,0)), "NA")</f>
        <v>1219</v>
      </c>
      <c r="H163" s="66" t="str">
        <f>IF($F163 = "bare", 0, IFERROR(INDEX(carbon!$A$14:$J$93,MATCH("*"&amp;$E163&amp;"*",carbon!$A$14:$A$93,0),2), "NA"))</f>
        <v>NA</v>
      </c>
      <c r="I163" s="66" t="str">
        <f>IF($F163 = "bare", 0, IFERROR(INDEX(carbon!$A$14:$J$93,MATCH("*"&amp;$E163&amp;"*",carbon!$A$14:$A$93,0),4), "NA"))</f>
        <v>NA</v>
      </c>
      <c r="J163" s="66" t="str">
        <f>IF($F163 = "bare", 0, IFERROR(INDEX(carbon!$A$14:$J$93,MATCH("*"&amp;$E163&amp;"*",carbon!$A$14:$A$93,0),6), "NA"))</f>
        <v>NA</v>
      </c>
      <c r="K163" s="66" t="str">
        <f>IF($F163 = "bare", 0, IFERROR(INDEX(carbon!$A$14:$J$93,MATCH("*"&amp;$E163&amp;"*",carbon!$A$14:$A$93,0),8), "NA"))</f>
        <v>NA</v>
      </c>
    </row>
    <row r="164" spans="1:11" ht="15.75" x14ac:dyDescent="0.25">
      <c r="A164" s="30" t="s">
        <v>454</v>
      </c>
      <c r="B164" s="30" t="s">
        <v>455</v>
      </c>
      <c r="C164" s="30" t="s">
        <v>518</v>
      </c>
      <c r="D164" t="s">
        <v>93</v>
      </c>
      <c r="E164" t="str">
        <f t="shared" si="5"/>
        <v>RR_36_A</v>
      </c>
      <c r="F164" t="str">
        <f>INDEX(raw!$B$2:$I$100,MATCH(data!D164,raw!$B$2:$B$108, 0), MATCH(data!F$1,raw!$B$1:$I$1, 0))</f>
        <v>seagrass</v>
      </c>
      <c r="G164" s="53">
        <f>IFERROR(INDEX(raw!$J$2:$K$86,MATCH(data!D164,raw!$B$2:$B$100,0),MATCH(data!B164,raw!$J$1:$K$1,0)), "NA")</f>
        <v>2113</v>
      </c>
      <c r="H164" s="66">
        <f>IF($F164 = "bare", 0, IFERROR(INDEX(carbon!$A$14:$J$93,MATCH("*"&amp;$E164&amp;"*",carbon!$A$14:$A$93,0),2), "NA"))</f>
        <v>71.209999999999994</v>
      </c>
      <c r="I164" s="66">
        <f>IF($F164 = "bare", 0, IFERROR(INDEX(carbon!$A$14:$J$93,MATCH("*"&amp;$E164&amp;"*",carbon!$A$14:$A$93,0),4), "NA"))</f>
        <v>20.43</v>
      </c>
      <c r="J164" s="66">
        <f>IF($F164 = "bare", 0, IFERROR(INDEX(carbon!$A$14:$J$93,MATCH("*"&amp;$E164&amp;"*",carbon!$A$14:$A$93,0),6), "NA"))</f>
        <v>218.99</v>
      </c>
      <c r="K164" s="66">
        <f>IF($F164 = "bare", 0, IFERROR(INDEX(carbon!$A$14:$J$93,MATCH("*"&amp;$E164&amp;"*",carbon!$A$14:$A$93,0),8), "NA"))</f>
        <v>0.50880000000000003</v>
      </c>
    </row>
    <row r="165" spans="1:11" ht="15.75" x14ac:dyDescent="0.25">
      <c r="A165" s="30" t="s">
        <v>454</v>
      </c>
      <c r="B165" s="30" t="s">
        <v>453</v>
      </c>
      <c r="C165" s="30" t="s">
        <v>518</v>
      </c>
      <c r="D165" t="s">
        <v>93</v>
      </c>
      <c r="E165" t="str">
        <f t="shared" si="5"/>
        <v>RR_36_B</v>
      </c>
      <c r="F165" t="str">
        <f>INDEX(raw!$B$2:$I$100,MATCH(data!D165,raw!$B$2:$B$108, 0), MATCH(data!F$1,raw!$B$1:$I$1, 0))</f>
        <v>seagrass</v>
      </c>
      <c r="G165" s="53">
        <f>IFERROR(INDEX(raw!$J$2:$K$86,MATCH(data!D165,raw!$B$2:$B$100,0),MATCH(data!B165,raw!$J$1:$K$1,0)), "NA")</f>
        <v>675</v>
      </c>
      <c r="H165" s="66">
        <f>IF($F165 = "bare", 0, IFERROR(INDEX(carbon!$A$14:$J$93,MATCH("*"&amp;$E165&amp;"*",carbon!$A$14:$A$93,0),2), "NA"))</f>
        <v>77.02</v>
      </c>
      <c r="I165" s="66">
        <f>IF($F165 = "bare", 0, IFERROR(INDEX(carbon!$A$14:$J$93,MATCH("*"&amp;$E165&amp;"*",carbon!$A$14:$A$93,0),4), "NA"))</f>
        <v>19.96</v>
      </c>
      <c r="J165" s="66">
        <f>IF($F165 = "bare", 0, IFERROR(INDEX(carbon!$A$14:$J$93,MATCH("*"&amp;$E165&amp;"*",carbon!$A$14:$A$93,0),6), "NA"))</f>
        <v>212</v>
      </c>
      <c r="K165" s="66">
        <f>IF($F165 = "bare", 0, IFERROR(INDEX(carbon!$A$14:$J$93,MATCH("*"&amp;$E165&amp;"*",carbon!$A$14:$A$93,0),8), "NA"))</f>
        <v>1.6419999999999999</v>
      </c>
    </row>
    <row r="166" spans="1:11" ht="15.75" x14ac:dyDescent="0.25">
      <c r="A166" s="30" t="s">
        <v>454</v>
      </c>
      <c r="B166" s="30" t="s">
        <v>455</v>
      </c>
      <c r="C166" s="30" t="s">
        <v>518</v>
      </c>
      <c r="D166" t="s">
        <v>105</v>
      </c>
      <c r="E166" t="str">
        <f t="shared" si="5"/>
        <v>RR_37_A</v>
      </c>
      <c r="F166" t="str">
        <f>INDEX(raw!$B$2:$I$100,MATCH(data!D166,raw!$B$2:$B$108, 0), MATCH(data!F$1,raw!$B$1:$I$1, 0))</f>
        <v>algae</v>
      </c>
      <c r="G166" s="53">
        <f>IFERROR(INDEX(raw!$J$2:$K$86,MATCH(data!D166,raw!$B$2:$B$100,0),MATCH(data!B166,raw!$J$1:$K$1,0)), "NA")</f>
        <v>39</v>
      </c>
      <c r="H166" s="66" t="str">
        <f>IF($F166 = "bare", 0, IFERROR(INDEX(carbon!$A$14:$J$93,MATCH("*"&amp;$E166&amp;"*",carbon!$A$14:$A$93,0),2), "NA"))</f>
        <v>NA</v>
      </c>
      <c r="I166" s="66" t="str">
        <f>IF($F166 = "bare", 0, IFERROR(INDEX(carbon!$A$14:$J$93,MATCH("*"&amp;$E166&amp;"*",carbon!$A$14:$A$93,0),4), "NA"))</f>
        <v>NA</v>
      </c>
      <c r="J166" s="66" t="str">
        <f>IF($F166 = "bare", 0, IFERROR(INDEX(carbon!$A$14:$J$93,MATCH("*"&amp;$E166&amp;"*",carbon!$A$14:$A$93,0),6), "NA"))</f>
        <v>NA</v>
      </c>
      <c r="K166" s="66" t="str">
        <f>IF($F166 = "bare", 0, IFERROR(INDEX(carbon!$A$14:$J$93,MATCH("*"&amp;$E166&amp;"*",carbon!$A$14:$A$93,0),8), "NA"))</f>
        <v>NA</v>
      </c>
    </row>
    <row r="167" spans="1:11" ht="15.75" x14ac:dyDescent="0.25">
      <c r="A167" s="30" t="s">
        <v>454</v>
      </c>
      <c r="B167" s="30" t="s">
        <v>453</v>
      </c>
      <c r="C167" s="30" t="s">
        <v>518</v>
      </c>
      <c r="D167" t="s">
        <v>105</v>
      </c>
      <c r="E167" t="str">
        <f t="shared" si="5"/>
        <v>RR_37_B</v>
      </c>
      <c r="F167" t="str">
        <f>INDEX(raw!$B$2:$I$100,MATCH(data!D167,raw!$B$2:$B$108, 0), MATCH(data!F$1,raw!$B$1:$I$1, 0))</f>
        <v>algae</v>
      </c>
      <c r="G167" s="53">
        <f>IFERROR(INDEX(raw!$J$2:$K$86,MATCH(data!D167,raw!$B$2:$B$100,0),MATCH(data!B167,raw!$J$1:$K$1,0)), "NA")</f>
        <v>161</v>
      </c>
      <c r="H167" s="66" t="str">
        <f>IF($F167 = "bare", 0, IFERROR(INDEX(carbon!$A$14:$J$93,MATCH("*"&amp;$E167&amp;"*",carbon!$A$14:$A$93,0),2), "NA"))</f>
        <v>NA</v>
      </c>
      <c r="I167" s="66" t="str">
        <f>IF($F167 = "bare", 0, IFERROR(INDEX(carbon!$A$14:$J$93,MATCH("*"&amp;$E167&amp;"*",carbon!$A$14:$A$93,0),4), "NA"))</f>
        <v>NA</v>
      </c>
      <c r="J167" s="66" t="str">
        <f>IF($F167 = "bare", 0, IFERROR(INDEX(carbon!$A$14:$J$93,MATCH("*"&amp;$E167&amp;"*",carbon!$A$14:$A$93,0),6), "NA"))</f>
        <v>NA</v>
      </c>
      <c r="K167" s="66" t="str">
        <f>IF($F167 = "bare", 0, IFERROR(INDEX(carbon!$A$14:$J$93,MATCH("*"&amp;$E167&amp;"*",carbon!$A$14:$A$93,0),8), "NA"))</f>
        <v>NA</v>
      </c>
    </row>
    <row r="168" spans="1:11" ht="15.75" x14ac:dyDescent="0.25">
      <c r="A168" s="30" t="s">
        <v>454</v>
      </c>
      <c r="B168" s="30" t="s">
        <v>455</v>
      </c>
      <c r="C168" s="30" t="s">
        <v>518</v>
      </c>
      <c r="D168" t="s">
        <v>143</v>
      </c>
      <c r="E168" t="str">
        <f t="shared" si="5"/>
        <v>RR_38_A</v>
      </c>
      <c r="F168" t="str">
        <f>INDEX(raw!$B$2:$I$100,MATCH(data!D168,raw!$B$2:$B$108, 0), MATCH(data!F$1,raw!$B$1:$I$1, 0))</f>
        <v>seagrass</v>
      </c>
      <c r="G168" s="53">
        <f>IFERROR(INDEX(raw!$J$2:$K$86,MATCH(data!D168,raw!$B$2:$B$100,0),MATCH(data!B168,raw!$J$1:$K$1,0)), "NA")</f>
        <v>1642</v>
      </c>
      <c r="H168" s="66">
        <f>IF($F168 = "bare", 0, IFERROR(INDEX(carbon!$A$14:$J$93,MATCH("*"&amp;$E168&amp;"*",carbon!$A$14:$A$93,0),2), "NA"))</f>
        <v>73.08</v>
      </c>
      <c r="I168" s="66">
        <f>IF($F168 = "bare", 0, IFERROR(INDEX(carbon!$A$14:$J$93,MATCH("*"&amp;$E168&amp;"*",carbon!$A$14:$A$93,0),4), "NA"))</f>
        <v>22.02</v>
      </c>
      <c r="J168" s="66">
        <f>IF($F168 = "bare", 0, IFERROR(INDEX(carbon!$A$14:$J$93,MATCH("*"&amp;$E168&amp;"*",carbon!$A$14:$A$93,0),6), "NA"))</f>
        <v>202.53</v>
      </c>
      <c r="K168" s="66">
        <f>IF($F168 = "bare", 0, IFERROR(INDEX(carbon!$A$14:$J$93,MATCH("*"&amp;$E168&amp;"*",carbon!$A$14:$A$93,0),8), "NA"))</f>
        <v>0.5071</v>
      </c>
    </row>
    <row r="169" spans="1:11" ht="15.75" x14ac:dyDescent="0.25">
      <c r="A169" s="30" t="s">
        <v>454</v>
      </c>
      <c r="B169" s="30" t="s">
        <v>453</v>
      </c>
      <c r="C169" s="30" t="s">
        <v>518</v>
      </c>
      <c r="D169" t="s">
        <v>143</v>
      </c>
      <c r="E169" t="str">
        <f t="shared" si="5"/>
        <v>RR_38_B</v>
      </c>
      <c r="F169" t="str">
        <f>INDEX(raw!$B$2:$I$100,MATCH(data!D169,raw!$B$2:$B$108, 0), MATCH(data!F$1,raw!$B$1:$I$1, 0))</f>
        <v>seagrass</v>
      </c>
      <c r="G169" s="53">
        <f>IFERROR(INDEX(raw!$J$2:$K$86,MATCH(data!D169,raw!$B$2:$B$100,0),MATCH(data!B169,raw!$J$1:$K$1,0)), "NA")</f>
        <v>1381</v>
      </c>
      <c r="H169" s="66">
        <f>IF($F169 = "bare", 0, IFERROR(INDEX(carbon!$A$14:$J$93,MATCH("*"&amp;$E169&amp;"*",carbon!$A$14:$A$93,0),2), "NA"))</f>
        <v>77.510000000000005</v>
      </c>
      <c r="I169" s="66">
        <f>IF($F169 = "bare", 0, IFERROR(INDEX(carbon!$A$14:$J$93,MATCH("*"&amp;$E169&amp;"*",carbon!$A$14:$A$93,0),4), "NA"))</f>
        <v>20.100000000000001</v>
      </c>
      <c r="J169" s="66">
        <f>IF($F169 = "bare", 0, IFERROR(INDEX(carbon!$A$14:$J$93,MATCH("*"&amp;$E169&amp;"*",carbon!$A$14:$A$93,0),6), "NA"))</f>
        <v>211.54</v>
      </c>
      <c r="K169" s="66">
        <f>IF($F169 = "bare", 0, IFERROR(INDEX(carbon!$A$14:$J$93,MATCH("*"&amp;$E169&amp;"*",carbon!$A$14:$A$93,0),8), "NA"))</f>
        <v>1.006</v>
      </c>
    </row>
    <row r="170" spans="1:11" ht="15.75" x14ac:dyDescent="0.25">
      <c r="A170" s="30" t="s">
        <v>454</v>
      </c>
      <c r="B170" s="30" t="s">
        <v>455</v>
      </c>
      <c r="C170" s="30" t="s">
        <v>518</v>
      </c>
      <c r="D170" t="s">
        <v>153</v>
      </c>
      <c r="E170" t="str">
        <f t="shared" si="5"/>
        <v>RR_39_A</v>
      </c>
      <c r="F170" t="str">
        <f>INDEX(raw!$B$2:$I$100,MATCH(data!D170,raw!$B$2:$B$108, 0), MATCH(data!F$1,raw!$B$1:$I$1, 0))</f>
        <v>seagrass</v>
      </c>
      <c r="G170" s="53">
        <f>IFERROR(INDEX(raw!$J$2:$K$86,MATCH(data!D170,raw!$B$2:$B$100,0),MATCH(data!B170,raw!$J$1:$K$1,0)), "NA")</f>
        <v>2745</v>
      </c>
      <c r="H170" s="66">
        <f>IF($F170 = "bare", 0, IFERROR(INDEX(carbon!$A$14:$J$93,MATCH("*"&amp;$E170&amp;"*",carbon!$A$14:$A$93,0),2), "NA"))</f>
        <v>76.14</v>
      </c>
      <c r="I170" s="66">
        <f>IF($F170 = "bare", 0, IFERROR(INDEX(carbon!$A$14:$J$93,MATCH("*"&amp;$E170&amp;"*",carbon!$A$14:$A$93,0),4), "NA"))</f>
        <v>23.83</v>
      </c>
      <c r="J170" s="66">
        <f>IF($F170 = "bare", 0, IFERROR(INDEX(carbon!$A$14:$J$93,MATCH("*"&amp;$E170&amp;"*",carbon!$A$14:$A$93,0),6), "NA"))</f>
        <v>215.17</v>
      </c>
      <c r="K170" s="66">
        <f>IF($F170 = "bare", 0, IFERROR(INDEX(carbon!$A$14:$J$93,MATCH("*"&amp;$E170&amp;"*",carbon!$A$14:$A$93,0),8), "NA"))</f>
        <v>0.53690000000000004</v>
      </c>
    </row>
    <row r="171" spans="1:11" ht="15.75" x14ac:dyDescent="0.25">
      <c r="A171" s="30" t="s">
        <v>454</v>
      </c>
      <c r="B171" s="30" t="s">
        <v>453</v>
      </c>
      <c r="C171" s="30" t="s">
        <v>518</v>
      </c>
      <c r="D171" t="s">
        <v>153</v>
      </c>
      <c r="E171" t="str">
        <f t="shared" si="5"/>
        <v>RR_39_B</v>
      </c>
      <c r="F171" t="str">
        <f>INDEX(raw!$B$2:$I$100,MATCH(data!D171,raw!$B$2:$B$108, 0), MATCH(data!F$1,raw!$B$1:$I$1, 0))</f>
        <v>seagrass</v>
      </c>
      <c r="G171" s="53">
        <f>IFERROR(INDEX(raw!$J$2:$K$86,MATCH(data!D171,raw!$B$2:$B$100,0),MATCH(data!B171,raw!$J$1:$K$1,0)), "NA")</f>
        <v>1244</v>
      </c>
      <c r="H171" s="66">
        <f>IF($F171 = "bare", 0, IFERROR(INDEX(carbon!$A$14:$J$93,MATCH("*"&amp;$E171&amp;"*",carbon!$A$14:$A$93,0),2), "NA"))</f>
        <v>74.8</v>
      </c>
      <c r="I171" s="66">
        <f>IF($F171 = "bare", 0, IFERROR(INDEX(carbon!$A$14:$J$93,MATCH("*"&amp;$E171&amp;"*",carbon!$A$14:$A$93,0),4), "NA"))</f>
        <v>23.22</v>
      </c>
      <c r="J171" s="66">
        <f>IF($F171 = "bare", 0, IFERROR(INDEX(carbon!$A$14:$J$93,MATCH("*"&amp;$E171&amp;"*",carbon!$A$14:$A$93,0),6), "NA"))</f>
        <v>209.63</v>
      </c>
      <c r="K171" s="66">
        <f>IF($F171 = "bare", 0, IFERROR(INDEX(carbon!$A$14:$J$93,MATCH("*"&amp;$E171&amp;"*",carbon!$A$14:$A$93,0),8), "NA"))</f>
        <v>1.194</v>
      </c>
    </row>
    <row r="172" spans="1:11" ht="15.75" x14ac:dyDescent="0.25">
      <c r="A172" s="30" t="s">
        <v>454</v>
      </c>
      <c r="B172" s="30" t="s">
        <v>455</v>
      </c>
      <c r="C172" s="30" t="s">
        <v>518</v>
      </c>
      <c r="D172" t="s">
        <v>45</v>
      </c>
      <c r="E172" t="str">
        <f t="shared" si="5"/>
        <v>RR_40_A</v>
      </c>
      <c r="F172" t="str">
        <f>INDEX(raw!$B$2:$I$100,MATCH(data!D172,raw!$B$2:$B$108, 0), MATCH(data!F$1,raw!$B$1:$I$1, 0))</f>
        <v>seagrass</v>
      </c>
      <c r="G172" s="53">
        <f>IFERROR(INDEX(raw!$J$2:$K$86,MATCH(data!D172,raw!$B$2:$B$100,0),MATCH(data!B172,raw!$J$1:$K$1,0)), "NA")</f>
        <v>1377</v>
      </c>
      <c r="H172" s="66" t="str">
        <f>IF($F172 = "bare", 0, IFERROR(INDEX(carbon!$A$14:$J$93,MATCH("*"&amp;$E172&amp;"*",carbon!$A$14:$A$93,0),2), "NA"))</f>
        <v>NA</v>
      </c>
      <c r="I172" s="66" t="str">
        <f>IF($F172 = "bare", 0, IFERROR(INDEX(carbon!$A$14:$J$93,MATCH("*"&amp;$E172&amp;"*",carbon!$A$14:$A$93,0),4), "NA"))</f>
        <v>NA</v>
      </c>
      <c r="J172" s="66" t="str">
        <f>IF($F172 = "bare", 0, IFERROR(INDEX(carbon!$A$14:$J$93,MATCH("*"&amp;$E172&amp;"*",carbon!$A$14:$A$93,0),6), "NA"))</f>
        <v>NA</v>
      </c>
      <c r="K172" s="66" t="str">
        <f>IF($F172 = "bare", 0, IFERROR(INDEX(carbon!$A$14:$J$93,MATCH("*"&amp;$E172&amp;"*",carbon!$A$14:$A$93,0),8), "NA"))</f>
        <v>NA</v>
      </c>
    </row>
    <row r="173" spans="1:11" ht="15.75" x14ac:dyDescent="0.25">
      <c r="A173" s="30" t="s">
        <v>454</v>
      </c>
      <c r="B173" s="30" t="s">
        <v>453</v>
      </c>
      <c r="C173" s="30" t="s">
        <v>518</v>
      </c>
      <c r="D173" t="s">
        <v>45</v>
      </c>
      <c r="E173" t="str">
        <f t="shared" si="5"/>
        <v>RR_40_B</v>
      </c>
      <c r="F173" t="str">
        <f>INDEX(raw!$B$2:$I$100,MATCH(data!D173,raw!$B$2:$B$108, 0), MATCH(data!F$1,raw!$B$1:$I$1, 0))</f>
        <v>seagrass</v>
      </c>
      <c r="G173" s="53">
        <f>IFERROR(INDEX(raw!$J$2:$K$86,MATCH(data!D173,raw!$B$2:$B$100,0),MATCH(data!B173,raw!$J$1:$K$1,0)), "NA")</f>
        <v>1864</v>
      </c>
      <c r="H173" s="66" t="str">
        <f>IF($F173 = "bare", 0, IFERROR(INDEX(carbon!$A$14:$J$93,MATCH("*"&amp;$E173&amp;"*",carbon!$A$14:$A$93,0),2), "NA"))</f>
        <v>NA</v>
      </c>
      <c r="I173" s="66" t="str">
        <f>IF($F173 = "bare", 0, IFERROR(INDEX(carbon!$A$14:$J$93,MATCH("*"&amp;$E173&amp;"*",carbon!$A$14:$A$93,0),4), "NA"))</f>
        <v>NA</v>
      </c>
      <c r="J173" s="66" t="str">
        <f>IF($F173 = "bare", 0, IFERROR(INDEX(carbon!$A$14:$J$93,MATCH("*"&amp;$E173&amp;"*",carbon!$A$14:$A$93,0),6), "NA"))</f>
        <v>NA</v>
      </c>
      <c r="K173" s="66" t="str">
        <f>IF($F173 = "bare", 0, IFERROR(INDEX(carbon!$A$14:$J$93,MATCH("*"&amp;$E173&amp;"*",carbon!$A$14:$A$93,0),8), "NA"))</f>
        <v>NA</v>
      </c>
    </row>
    <row r="174" spans="1:11" ht="15.75" x14ac:dyDescent="0.25">
      <c r="A174" s="30" t="s">
        <v>454</v>
      </c>
      <c r="B174" s="30" t="s">
        <v>455</v>
      </c>
      <c r="C174" s="30" t="s">
        <v>518</v>
      </c>
      <c r="D174" t="s">
        <v>42</v>
      </c>
      <c r="E174" t="str">
        <f t="shared" si="5"/>
        <v>RR_41_A</v>
      </c>
      <c r="F174" t="str">
        <f>INDEX(raw!$B$2:$I$100,MATCH(data!D174,raw!$B$2:$B$108, 0), MATCH(data!F$1,raw!$B$1:$I$1, 0))</f>
        <v>seagrass</v>
      </c>
      <c r="G174" s="53">
        <f>IFERROR(INDEX(raw!$J$2:$K$86,MATCH(data!D174,raw!$B$2:$B$100,0),MATCH(data!B174,raw!$J$1:$K$1,0)), "NA")</f>
        <v>2418</v>
      </c>
      <c r="H174" s="66">
        <f>IF($F174 = "bare", 0, IFERROR(INDEX(carbon!$A$14:$J$93,MATCH("*"&amp;$E174&amp;"*",carbon!$A$14:$A$93,0),2), "NA"))</f>
        <v>76.67</v>
      </c>
      <c r="I174" s="66">
        <f>IF($F174 = "bare", 0, IFERROR(INDEX(carbon!$A$14:$J$93,MATCH("*"&amp;$E174&amp;"*",carbon!$A$14:$A$93,0),4), "NA"))</f>
        <v>23.6</v>
      </c>
      <c r="J174" s="66">
        <f>IF($F174 = "bare", 0, IFERROR(INDEX(carbon!$A$14:$J$93,MATCH("*"&amp;$E174&amp;"*",carbon!$A$14:$A$93,0),6), "NA"))</f>
        <v>201.56</v>
      </c>
      <c r="K174" s="66">
        <f>IF($F174 = "bare", 0, IFERROR(INDEX(carbon!$A$14:$J$93,MATCH("*"&amp;$E174&amp;"*",carbon!$A$14:$A$93,0),8), "NA"))</f>
        <v>1.4849000000000001</v>
      </c>
    </row>
    <row r="175" spans="1:11" ht="15.75" x14ac:dyDescent="0.25">
      <c r="A175" s="30" t="s">
        <v>454</v>
      </c>
      <c r="B175" s="30" t="s">
        <v>453</v>
      </c>
      <c r="C175" s="30" t="s">
        <v>518</v>
      </c>
      <c r="D175" t="s">
        <v>42</v>
      </c>
      <c r="E175" t="str">
        <f t="shared" si="5"/>
        <v>RR_41_B</v>
      </c>
      <c r="F175" t="str">
        <f>INDEX(raw!$B$2:$I$100,MATCH(data!D175,raw!$B$2:$B$108, 0), MATCH(data!F$1,raw!$B$1:$I$1, 0))</f>
        <v>seagrass</v>
      </c>
      <c r="G175" s="53">
        <f>IFERROR(INDEX(raw!$J$2:$K$86,MATCH(data!D175,raw!$B$2:$B$100,0),MATCH(data!B175,raw!$J$1:$K$1,0)), "NA")</f>
        <v>1706</v>
      </c>
      <c r="H175" s="66" t="str">
        <f>IF($F175 = "bare", 0, IFERROR(INDEX(carbon!$A$14:$J$93,MATCH("*"&amp;$E175&amp;"*",carbon!$A$14:$A$93,0),2), "NA"))</f>
        <v>NA</v>
      </c>
      <c r="I175" s="66" t="str">
        <f>IF($F175 = "bare", 0, IFERROR(INDEX(carbon!$A$14:$J$93,MATCH("*"&amp;$E175&amp;"*",carbon!$A$14:$A$93,0),4), "NA"))</f>
        <v>NA</v>
      </c>
      <c r="J175" s="66" t="str">
        <f>IF($F175 = "bare", 0, IFERROR(INDEX(carbon!$A$14:$J$93,MATCH("*"&amp;$E175&amp;"*",carbon!$A$14:$A$93,0),6), "NA"))</f>
        <v>NA</v>
      </c>
      <c r="K175" s="66" t="str">
        <f>IF($F175 = "bare", 0, IFERROR(INDEX(carbon!$A$14:$J$93,MATCH("*"&amp;$E175&amp;"*",carbon!$A$14:$A$93,0),8), "NA"))</f>
        <v>NA</v>
      </c>
    </row>
    <row r="176" spans="1:11" ht="15.75" x14ac:dyDescent="0.25">
      <c r="A176" s="30" t="s">
        <v>454</v>
      </c>
      <c r="B176" s="30" t="s">
        <v>455</v>
      </c>
      <c r="C176" s="30" t="s">
        <v>518</v>
      </c>
      <c r="D176" t="s">
        <v>282</v>
      </c>
      <c r="E176" t="str">
        <f t="shared" si="5"/>
        <v>RR_42_A</v>
      </c>
      <c r="F176" t="str">
        <f>INDEX(raw!$B$2:$I$100,MATCH(data!D176,raw!$B$2:$B$108, 0), MATCH(data!F$1,raw!$B$1:$I$1, 0))</f>
        <v>NA</v>
      </c>
      <c r="G176" s="53" t="str">
        <f>IFERROR(INDEX(raw!$J$2:$K$86,MATCH(data!D176,raw!$B$2:$B$100,0),MATCH(data!B176,raw!$J$1:$K$1,0)), "NA")</f>
        <v>NA</v>
      </c>
      <c r="H176" s="66" t="str">
        <f>IF($F176 = "bare", 0, IFERROR(INDEX(carbon!$A$14:$J$93,MATCH("*"&amp;$E176&amp;"*",carbon!$A$14:$A$93,0),2), "NA"))</f>
        <v>NA</v>
      </c>
      <c r="I176" s="66" t="str">
        <f>IF($F176 = "bare", 0, IFERROR(INDEX(carbon!$A$14:$J$93,MATCH("*"&amp;$E176&amp;"*",carbon!$A$14:$A$93,0),4), "NA"))</f>
        <v>NA</v>
      </c>
      <c r="J176" s="66" t="str">
        <f>IF($F176 = "bare", 0, IFERROR(INDEX(carbon!$A$14:$J$93,MATCH("*"&amp;$E176&amp;"*",carbon!$A$14:$A$93,0),6), "NA"))</f>
        <v>NA</v>
      </c>
      <c r="K176" s="66" t="str">
        <f>IF($F176 = "bare", 0, IFERROR(INDEX(carbon!$A$14:$J$93,MATCH("*"&amp;$E176&amp;"*",carbon!$A$14:$A$93,0),8), "NA"))</f>
        <v>NA</v>
      </c>
    </row>
    <row r="177" spans="1:11" ht="15.75" x14ac:dyDescent="0.25">
      <c r="A177" s="30" t="s">
        <v>454</v>
      </c>
      <c r="B177" s="30" t="s">
        <v>453</v>
      </c>
      <c r="C177" s="30" t="s">
        <v>518</v>
      </c>
      <c r="D177" t="s">
        <v>282</v>
      </c>
      <c r="E177" t="str">
        <f t="shared" si="5"/>
        <v>RR_42_B</v>
      </c>
      <c r="F177" t="str">
        <f>INDEX(raw!$B$2:$I$100,MATCH(data!D177,raw!$B$2:$B$108, 0), MATCH(data!F$1,raw!$B$1:$I$1, 0))</f>
        <v>NA</v>
      </c>
      <c r="G177" s="53" t="str">
        <f>IFERROR(INDEX(raw!$J$2:$K$86,MATCH(data!D177,raw!$B$2:$B$100,0),MATCH(data!B177,raw!$J$1:$K$1,0)), "NA")</f>
        <v>NA</v>
      </c>
      <c r="H177" s="66" t="str">
        <f>IF($F177 = "bare", 0, IFERROR(INDEX(carbon!$A$14:$J$93,MATCH("*"&amp;$E177&amp;"*",carbon!$A$14:$A$93,0),2), "NA"))</f>
        <v>NA</v>
      </c>
      <c r="I177" s="66" t="str">
        <f>IF($F177 = "bare", 0, IFERROR(INDEX(carbon!$A$14:$J$93,MATCH("*"&amp;$E177&amp;"*",carbon!$A$14:$A$93,0),4), "NA"))</f>
        <v>NA</v>
      </c>
      <c r="J177" s="66" t="str">
        <f>IF($F177 = "bare", 0, IFERROR(INDEX(carbon!$A$14:$J$93,MATCH("*"&amp;$E177&amp;"*",carbon!$A$14:$A$93,0),6), "NA"))</f>
        <v>NA</v>
      </c>
      <c r="K177" s="66" t="str">
        <f>IF($F177 = "bare", 0, IFERROR(INDEX(carbon!$A$14:$J$93,MATCH("*"&amp;$E177&amp;"*",carbon!$A$14:$A$93,0),8), "NA"))</f>
        <v>NA</v>
      </c>
    </row>
    <row r="178" spans="1:11" ht="15.75" x14ac:dyDescent="0.25">
      <c r="A178" s="30" t="s">
        <v>454</v>
      </c>
      <c r="B178" s="30" t="s">
        <v>455</v>
      </c>
      <c r="C178" s="30" t="s">
        <v>518</v>
      </c>
      <c r="D178" t="s">
        <v>83</v>
      </c>
      <c r="E178" t="str">
        <f t="shared" si="5"/>
        <v>RR_43_A</v>
      </c>
      <c r="F178" t="str">
        <f>INDEX(raw!$B$2:$I$100,MATCH(data!D178,raw!$B$2:$B$108, 0), MATCH(data!F$1,raw!$B$1:$I$1, 0))</f>
        <v>seagrass</v>
      </c>
      <c r="G178" s="53">
        <f>IFERROR(INDEX(raw!$J$2:$K$86,MATCH(data!D178,raw!$B$2:$B$100,0),MATCH(data!B178,raw!$J$1:$K$1,0)), "NA")</f>
        <v>933</v>
      </c>
      <c r="H178" s="66" t="str">
        <f>IF($F178 = "bare", 0, IFERROR(INDEX(carbon!$A$14:$J$93,MATCH("*"&amp;$E178&amp;"*",carbon!$A$14:$A$93,0),2), "NA"))</f>
        <v>NA</v>
      </c>
      <c r="I178" s="66" t="str">
        <f>IF($F178 = "bare", 0, IFERROR(INDEX(carbon!$A$14:$J$93,MATCH("*"&amp;$E178&amp;"*",carbon!$A$14:$A$93,0),4), "NA"))</f>
        <v>NA</v>
      </c>
      <c r="J178" s="66" t="str">
        <f>IF($F178 = "bare", 0, IFERROR(INDEX(carbon!$A$14:$J$93,MATCH("*"&amp;$E178&amp;"*",carbon!$A$14:$A$93,0),6), "NA"))</f>
        <v>NA</v>
      </c>
      <c r="K178" s="66" t="str">
        <f>IF($F178 = "bare", 0, IFERROR(INDEX(carbon!$A$14:$J$93,MATCH("*"&amp;$E178&amp;"*",carbon!$A$14:$A$93,0),8), "NA"))</f>
        <v>NA</v>
      </c>
    </row>
    <row r="179" spans="1:11" ht="15.75" x14ac:dyDescent="0.25">
      <c r="A179" s="30" t="s">
        <v>454</v>
      </c>
      <c r="B179" s="30" t="s">
        <v>453</v>
      </c>
      <c r="C179" s="30" t="s">
        <v>518</v>
      </c>
      <c r="D179" t="s">
        <v>83</v>
      </c>
      <c r="E179" t="str">
        <f t="shared" si="5"/>
        <v>RR_43_B</v>
      </c>
      <c r="F179" t="str">
        <f>INDEX(raw!$B$2:$I$100,MATCH(data!D179,raw!$B$2:$B$108, 0), MATCH(data!F$1,raw!$B$1:$I$1, 0))</f>
        <v>seagrass</v>
      </c>
      <c r="G179" s="53">
        <f>IFERROR(INDEX(raw!$J$2:$K$86,MATCH(data!D179,raw!$B$2:$B$100,0),MATCH(data!B179,raw!$J$1:$K$1,0)), "NA")</f>
        <v>750</v>
      </c>
      <c r="H179" s="66" t="str">
        <f>IF($F179 = "bare", 0, IFERROR(INDEX(carbon!$A$14:$J$93,MATCH("*"&amp;$E179&amp;"*",carbon!$A$14:$A$93,0),2), "NA"))</f>
        <v>NA</v>
      </c>
      <c r="I179" s="66" t="str">
        <f>IF($F179 = "bare", 0, IFERROR(INDEX(carbon!$A$14:$J$93,MATCH("*"&amp;$E179&amp;"*",carbon!$A$14:$A$93,0),4), "NA"))</f>
        <v>NA</v>
      </c>
      <c r="J179" s="66" t="str">
        <f>IF($F179 = "bare", 0, IFERROR(INDEX(carbon!$A$14:$J$93,MATCH("*"&amp;$E179&amp;"*",carbon!$A$14:$A$93,0),6), "NA"))</f>
        <v>NA</v>
      </c>
      <c r="K179" s="66" t="str">
        <f>IF($F179 = "bare", 0, IFERROR(INDEX(carbon!$A$14:$J$93,MATCH("*"&amp;$E179&amp;"*",carbon!$A$14:$A$93,0),8), "NA"))</f>
        <v>NA</v>
      </c>
    </row>
    <row r="180" spans="1:11" ht="15.75" x14ac:dyDescent="0.25">
      <c r="A180" s="30" t="s">
        <v>454</v>
      </c>
      <c r="B180" s="30" t="s">
        <v>455</v>
      </c>
      <c r="C180" s="30" t="s">
        <v>518</v>
      </c>
      <c r="D180" t="s">
        <v>86</v>
      </c>
      <c r="E180" t="str">
        <f t="shared" si="5"/>
        <v>RR_44_A</v>
      </c>
      <c r="F180" t="str">
        <f>INDEX(raw!$B$2:$I$100,MATCH(data!D180,raw!$B$2:$B$108, 0), MATCH(data!F$1,raw!$B$1:$I$1, 0))</f>
        <v>algae</v>
      </c>
      <c r="G180" s="53">
        <f>IFERROR(INDEX(raw!$J$2:$K$86,MATCH(data!D180,raw!$B$2:$B$100,0),MATCH(data!B180,raw!$J$1:$K$1,0)), "NA")</f>
        <v>85</v>
      </c>
      <c r="H180" s="66" t="str">
        <f>IF($F180 = "bare", 0, IFERROR(INDEX(carbon!$A$14:$J$93,MATCH("*"&amp;$E180&amp;"*",carbon!$A$14:$A$93,0),2), "NA"))</f>
        <v>NA</v>
      </c>
      <c r="I180" s="66" t="str">
        <f>IF($F180 = "bare", 0, IFERROR(INDEX(carbon!$A$14:$J$93,MATCH("*"&amp;$E180&amp;"*",carbon!$A$14:$A$93,0),4), "NA"))</f>
        <v>NA</v>
      </c>
      <c r="J180" s="66" t="str">
        <f>IF($F180 = "bare", 0, IFERROR(INDEX(carbon!$A$14:$J$93,MATCH("*"&amp;$E180&amp;"*",carbon!$A$14:$A$93,0),6), "NA"))</f>
        <v>NA</v>
      </c>
      <c r="K180" s="66" t="str">
        <f>IF($F180 = "bare", 0, IFERROR(INDEX(carbon!$A$14:$J$93,MATCH("*"&amp;$E180&amp;"*",carbon!$A$14:$A$93,0),8), "NA"))</f>
        <v>NA</v>
      </c>
    </row>
    <row r="181" spans="1:11" ht="15.75" x14ac:dyDescent="0.25">
      <c r="A181" s="30" t="s">
        <v>454</v>
      </c>
      <c r="B181" s="30" t="s">
        <v>453</v>
      </c>
      <c r="C181" s="30" t="s">
        <v>518</v>
      </c>
      <c r="D181" t="s">
        <v>86</v>
      </c>
      <c r="E181" t="str">
        <f t="shared" si="5"/>
        <v>RR_44_B</v>
      </c>
      <c r="F181" t="str">
        <f>INDEX(raw!$B$2:$I$100,MATCH(data!D181,raw!$B$2:$B$108, 0), MATCH(data!F$1,raw!$B$1:$I$1, 0))</f>
        <v>algae</v>
      </c>
      <c r="G181" s="53">
        <f>IFERROR(INDEX(raw!$J$2:$K$86,MATCH(data!D181,raw!$B$2:$B$100,0),MATCH(data!B181,raw!$J$1:$K$1,0)), "NA")</f>
        <v>719</v>
      </c>
      <c r="H181" s="66" t="str">
        <f>IF($F181 = "bare", 0, IFERROR(INDEX(carbon!$A$14:$J$93,MATCH("*"&amp;$E181&amp;"*",carbon!$A$14:$A$93,0),2), "NA"))</f>
        <v>NA</v>
      </c>
      <c r="I181" s="66" t="str">
        <f>IF($F181 = "bare", 0, IFERROR(INDEX(carbon!$A$14:$J$93,MATCH("*"&amp;$E181&amp;"*",carbon!$A$14:$A$93,0),4), "NA"))</f>
        <v>NA</v>
      </c>
      <c r="J181" s="66" t="str">
        <f>IF($F181 = "bare", 0, IFERROR(INDEX(carbon!$A$14:$J$93,MATCH("*"&amp;$E181&amp;"*",carbon!$A$14:$A$93,0),6), "NA"))</f>
        <v>NA</v>
      </c>
      <c r="K181" s="66" t="str">
        <f>IF($F181 = "bare", 0, IFERROR(INDEX(carbon!$A$14:$J$93,MATCH("*"&amp;$E181&amp;"*",carbon!$A$14:$A$93,0),8), "NA"))</f>
        <v>NA</v>
      </c>
    </row>
    <row r="182" spans="1:11" ht="15.75" x14ac:dyDescent="0.25">
      <c r="A182" s="30" t="s">
        <v>454</v>
      </c>
      <c r="B182" s="30" t="s">
        <v>455</v>
      </c>
      <c r="C182" s="30" t="s">
        <v>518</v>
      </c>
      <c r="D182" t="s">
        <v>111</v>
      </c>
      <c r="E182" t="str">
        <f t="shared" si="5"/>
        <v>RR_45_A</v>
      </c>
      <c r="F182" t="str">
        <f>INDEX(raw!$B$2:$I$100,MATCH(data!D182,raw!$B$2:$B$108, 0), MATCH(data!F$1,raw!$B$1:$I$1, 0))</f>
        <v>seagrass</v>
      </c>
      <c r="G182" s="53">
        <f>IFERROR(INDEX(raw!$J$2:$K$86,MATCH(data!D182,raw!$B$2:$B$100,0),MATCH(data!B182,raw!$J$1:$K$1,0)), "NA")</f>
        <v>1294</v>
      </c>
      <c r="H182" s="66">
        <f>IF($F182 = "bare", 0, IFERROR(INDEX(carbon!$A$14:$J$93,MATCH("*"&amp;$E182&amp;"*",carbon!$A$14:$A$93,0),2), "NA"))</f>
        <v>71</v>
      </c>
      <c r="I182" s="66">
        <f>IF($F182 = "bare", 0, IFERROR(INDEX(carbon!$A$14:$J$93,MATCH("*"&amp;$E182&amp;"*",carbon!$A$14:$A$93,0),4), "NA"))</f>
        <v>21.58</v>
      </c>
      <c r="J182" s="66">
        <f>IF($F182 = "bare", 0, IFERROR(INDEX(carbon!$A$14:$J$93,MATCH("*"&amp;$E182&amp;"*",carbon!$A$14:$A$93,0),6), "NA"))</f>
        <v>211.32</v>
      </c>
      <c r="K182" s="66">
        <f>IF($F182 = "bare", 0, IFERROR(INDEX(carbon!$A$14:$J$93,MATCH("*"&amp;$E182&amp;"*",carbon!$A$14:$A$93,0),8), "NA"))</f>
        <v>1.512</v>
      </c>
    </row>
    <row r="183" spans="1:11" ht="15.75" x14ac:dyDescent="0.25">
      <c r="A183" s="30" t="s">
        <v>454</v>
      </c>
      <c r="B183" s="30" t="s">
        <v>453</v>
      </c>
      <c r="C183" s="30" t="s">
        <v>518</v>
      </c>
      <c r="D183" t="s">
        <v>111</v>
      </c>
      <c r="E183" t="str">
        <f t="shared" si="5"/>
        <v>RR_45_B</v>
      </c>
      <c r="F183" t="str">
        <f>INDEX(raw!$B$2:$I$100,MATCH(data!D183,raw!$B$2:$B$108, 0), MATCH(data!F$1,raw!$B$1:$I$1, 0))</f>
        <v>seagrass</v>
      </c>
      <c r="G183" s="53">
        <f>IFERROR(INDEX(raw!$J$2:$K$86,MATCH(data!D183,raw!$B$2:$B$100,0),MATCH(data!B183,raw!$J$1:$K$1,0)), "NA")</f>
        <v>454</v>
      </c>
      <c r="H183" s="66">
        <f>IF($F183 = "bare", 0, IFERROR(INDEX(carbon!$A$14:$J$93,MATCH("*"&amp;$E183&amp;"*",carbon!$A$14:$A$93,0),2), "NA"))</f>
        <v>72.09</v>
      </c>
      <c r="I183" s="66">
        <f>IF($F183 = "bare", 0, IFERROR(INDEX(carbon!$A$14:$J$93,MATCH("*"&amp;$E183&amp;"*",carbon!$A$14:$A$93,0),4), "NA"))</f>
        <v>17.09</v>
      </c>
      <c r="J183" s="66">
        <f>IF($F183 = "bare", 0, IFERROR(INDEX(carbon!$A$14:$J$93,MATCH("*"&amp;$E183&amp;"*",carbon!$A$14:$A$93,0),6), "NA"))</f>
        <v>214.72</v>
      </c>
      <c r="K183" s="66">
        <f>IF($F183 = "bare", 0, IFERROR(INDEX(carbon!$A$14:$J$93,MATCH("*"&amp;$E183&amp;"*",carbon!$A$14:$A$93,0),8), "NA"))</f>
        <v>0.43509999999999999</v>
      </c>
    </row>
    <row r="184" spans="1:11" ht="15.75" x14ac:dyDescent="0.25">
      <c r="A184" s="30" t="s">
        <v>454</v>
      </c>
      <c r="B184" s="30" t="s">
        <v>455</v>
      </c>
      <c r="C184" s="30" t="s">
        <v>518</v>
      </c>
      <c r="D184" t="s">
        <v>132</v>
      </c>
      <c r="E184" t="str">
        <f t="shared" si="5"/>
        <v>RR_46_A</v>
      </c>
      <c r="F184" t="str">
        <f>INDEX(raw!$B$2:$I$100,MATCH(data!D184,raw!$B$2:$B$108, 0), MATCH(data!F$1,raw!$B$1:$I$1, 0))</f>
        <v>seagrass</v>
      </c>
      <c r="G184" s="53">
        <f>IFERROR(INDEX(raw!$J$2:$K$86,MATCH(data!D184,raw!$B$2:$B$100,0),MATCH(data!B184,raw!$J$1:$K$1,0)), "NA")</f>
        <v>206.02</v>
      </c>
      <c r="H184" s="66">
        <f>IF($F184 = "bare", 0, IFERROR(INDEX(carbon!$A$14:$J$93,MATCH("*"&amp;$E184&amp;"*",carbon!$A$14:$A$93,0),2), "NA"))</f>
        <v>73.150000000000006</v>
      </c>
      <c r="I184" s="66">
        <f>IF($F184 = "bare", 0, IFERROR(INDEX(carbon!$A$14:$J$93,MATCH("*"&amp;$E184&amp;"*",carbon!$A$14:$A$93,0),4), "NA"))</f>
        <v>19.22</v>
      </c>
      <c r="J184" s="66">
        <f>IF($F184 = "bare", 0, IFERROR(INDEX(carbon!$A$14:$J$93,MATCH("*"&amp;$E184&amp;"*",carbon!$A$14:$A$93,0),6), "NA"))</f>
        <v>208.28</v>
      </c>
      <c r="K184" s="66">
        <f>IF($F184 = "bare", 0, IFERROR(INDEX(carbon!$A$14:$J$93,MATCH("*"&amp;$E184&amp;"*",carbon!$A$14:$A$93,0),8), "NA"))</f>
        <v>0.76939999999999997</v>
      </c>
    </row>
    <row r="185" spans="1:11" ht="15.75" x14ac:dyDescent="0.25">
      <c r="A185" s="30" t="s">
        <v>454</v>
      </c>
      <c r="B185" s="30" t="s">
        <v>453</v>
      </c>
      <c r="C185" s="30" t="s">
        <v>518</v>
      </c>
      <c r="D185" t="s">
        <v>132</v>
      </c>
      <c r="E185" t="str">
        <f t="shared" si="5"/>
        <v>RR_46_B</v>
      </c>
      <c r="F185" t="str">
        <f>INDEX(raw!$B$2:$I$100,MATCH(data!D185,raw!$B$2:$B$108, 0), MATCH(data!F$1,raw!$B$1:$I$1, 0))</f>
        <v>seagrass</v>
      </c>
      <c r="G185" s="53">
        <f>IFERROR(INDEX(raw!$J$2:$K$86,MATCH(data!D185,raw!$B$2:$B$100,0),MATCH(data!B185,raw!$J$1:$K$1,0)), "NA")</f>
        <v>212.4</v>
      </c>
      <c r="H185" s="66">
        <f>IF($F185 = "bare", 0, IFERROR(INDEX(carbon!$A$14:$J$93,MATCH("*"&amp;$E185&amp;"*",carbon!$A$14:$A$93,0),2), "NA"))</f>
        <v>71.650000000000006</v>
      </c>
      <c r="I185" s="66">
        <f>IF($F185 = "bare", 0, IFERROR(INDEX(carbon!$A$14:$J$93,MATCH("*"&amp;$E185&amp;"*",carbon!$A$14:$A$93,0),4), "NA"))</f>
        <v>17.59</v>
      </c>
      <c r="J185" s="66">
        <f>IF($F185 = "bare", 0, IFERROR(INDEX(carbon!$A$14:$J$93,MATCH("*"&amp;$E185&amp;"*",carbon!$A$14:$A$93,0),6), "NA"))</f>
        <v>201.37</v>
      </c>
      <c r="K185" s="66">
        <f>IF($F185 = "bare", 0, IFERROR(INDEX(carbon!$A$14:$J$93,MATCH("*"&amp;$E185&amp;"*",carbon!$A$14:$A$93,0),8), "NA"))</f>
        <v>0.62519999999999998</v>
      </c>
    </row>
    <row r="186" spans="1:11" ht="15.75" x14ac:dyDescent="0.25">
      <c r="A186" s="30" t="s">
        <v>454</v>
      </c>
      <c r="B186" s="30" t="s">
        <v>455</v>
      </c>
      <c r="C186" s="30" t="s">
        <v>518</v>
      </c>
      <c r="D186" t="s">
        <v>21</v>
      </c>
      <c r="E186" t="str">
        <f t="shared" si="5"/>
        <v>RR_47_A</v>
      </c>
      <c r="F186" t="str">
        <f>INDEX(raw!$B$2:$I$100,MATCH(data!D186,raw!$B$2:$B$108, 0), MATCH(data!F$1,raw!$B$1:$I$1, 0))</f>
        <v>seagrass</v>
      </c>
      <c r="G186" s="53">
        <f>IFERROR(INDEX(raw!$J$2:$K$86,MATCH(data!D186,raw!$B$2:$B$100,0),MATCH(data!B186,raw!$J$1:$K$1,0)), "NA")</f>
        <v>0</v>
      </c>
      <c r="H186" s="66" t="str">
        <f>IF($F186 = "bare", 0, IFERROR(INDEX(carbon!$A$14:$J$93,MATCH("*"&amp;$E186&amp;"*",carbon!$A$14:$A$93,0),2), "NA"))</f>
        <v>NA</v>
      </c>
      <c r="I186" s="66" t="str">
        <f>IF($F186 = "bare", 0, IFERROR(INDEX(carbon!$A$14:$J$93,MATCH("*"&amp;$E186&amp;"*",carbon!$A$14:$A$93,0),4), "NA"))</f>
        <v>NA</v>
      </c>
      <c r="J186" s="66" t="str">
        <f>IF($F186 = "bare", 0, IFERROR(INDEX(carbon!$A$14:$J$93,MATCH("*"&amp;$E186&amp;"*",carbon!$A$14:$A$93,0),6), "NA"))</f>
        <v>NA</v>
      </c>
      <c r="K186" s="66" t="str">
        <f>IF($F186 = "bare", 0, IFERROR(INDEX(carbon!$A$14:$J$93,MATCH("*"&amp;$E186&amp;"*",carbon!$A$14:$A$93,0),8), "NA"))</f>
        <v>NA</v>
      </c>
    </row>
    <row r="187" spans="1:11" ht="15.75" x14ac:dyDescent="0.25">
      <c r="A187" s="30" t="s">
        <v>454</v>
      </c>
      <c r="B187" s="30" t="s">
        <v>453</v>
      </c>
      <c r="C187" s="30" t="s">
        <v>518</v>
      </c>
      <c r="D187" t="s">
        <v>21</v>
      </c>
      <c r="E187" t="str">
        <f t="shared" si="5"/>
        <v>RR_47_B</v>
      </c>
      <c r="F187" t="str">
        <f>INDEX(raw!$B$2:$I$100,MATCH(data!D187,raw!$B$2:$B$108, 0), MATCH(data!F$1,raw!$B$1:$I$1, 0))</f>
        <v>seagrass</v>
      </c>
      <c r="G187" s="53">
        <f>IFERROR(INDEX(raw!$J$2:$K$86,MATCH(data!D187,raw!$B$2:$B$100,0),MATCH(data!B187,raw!$J$1:$K$1,0)), "NA")</f>
        <v>0</v>
      </c>
      <c r="H187" s="66" t="str">
        <f>IF($F187 = "bare", 0, IFERROR(INDEX(carbon!$A$14:$J$93,MATCH("*"&amp;$E187&amp;"*",carbon!$A$14:$A$93,0),2), "NA"))</f>
        <v>NA</v>
      </c>
      <c r="I187" s="66" t="str">
        <f>IF($F187 = "bare", 0, IFERROR(INDEX(carbon!$A$14:$J$93,MATCH("*"&amp;$E187&amp;"*",carbon!$A$14:$A$93,0),4), "NA"))</f>
        <v>NA</v>
      </c>
      <c r="J187" s="66" t="str">
        <f>IF($F187 = "bare", 0, IFERROR(INDEX(carbon!$A$14:$J$93,MATCH("*"&amp;$E187&amp;"*",carbon!$A$14:$A$93,0),6), "NA"))</f>
        <v>NA</v>
      </c>
      <c r="K187" s="66" t="str">
        <f>IF($F187 = "bare", 0, IFERROR(INDEX(carbon!$A$14:$J$93,MATCH("*"&amp;$E187&amp;"*",carbon!$A$14:$A$93,0),8), "NA"))</f>
        <v>NA</v>
      </c>
    </row>
    <row r="188" spans="1:11" ht="15.75" x14ac:dyDescent="0.25">
      <c r="A188" s="30" t="s">
        <v>454</v>
      </c>
      <c r="B188" s="30" t="s">
        <v>455</v>
      </c>
      <c r="C188" s="30" t="s">
        <v>518</v>
      </c>
      <c r="D188" t="s">
        <v>50</v>
      </c>
      <c r="E188" t="str">
        <f t="shared" si="5"/>
        <v>RR_48_A</v>
      </c>
      <c r="F188" t="str">
        <f>INDEX(raw!$B$2:$I$100,MATCH(data!D188,raw!$B$2:$B$108, 0), MATCH(data!F$1,raw!$B$1:$I$1, 0))</f>
        <v>seagrass</v>
      </c>
      <c r="G188" s="53">
        <f>IFERROR(INDEX(raw!$J$2:$K$86,MATCH(data!D188,raw!$B$2:$B$100,0),MATCH(data!B188,raw!$J$1:$K$1,0)), "NA")</f>
        <v>3628</v>
      </c>
      <c r="H188" s="66" t="str">
        <f>IF($F188 = "bare", 0, IFERROR(INDEX(carbon!$A$14:$J$93,MATCH("*"&amp;$E188&amp;"*",carbon!$A$14:$A$93,0),2), "NA"))</f>
        <v>NA</v>
      </c>
      <c r="I188" s="66" t="str">
        <f>IF($F188 = "bare", 0, IFERROR(INDEX(carbon!$A$14:$J$93,MATCH("*"&amp;$E188&amp;"*",carbon!$A$14:$A$93,0),4), "NA"))</f>
        <v>NA</v>
      </c>
      <c r="J188" s="66" t="str">
        <f>IF($F188 = "bare", 0, IFERROR(INDEX(carbon!$A$14:$J$93,MATCH("*"&amp;$E188&amp;"*",carbon!$A$14:$A$93,0),6), "NA"))</f>
        <v>NA</v>
      </c>
      <c r="K188" s="66" t="str">
        <f>IF($F188 = "bare", 0, IFERROR(INDEX(carbon!$A$14:$J$93,MATCH("*"&amp;$E188&amp;"*",carbon!$A$14:$A$93,0),8), "NA"))</f>
        <v>NA</v>
      </c>
    </row>
    <row r="189" spans="1:11" ht="15.75" x14ac:dyDescent="0.25">
      <c r="A189" s="30" t="s">
        <v>454</v>
      </c>
      <c r="B189" s="30" t="s">
        <v>453</v>
      </c>
      <c r="C189" s="30" t="s">
        <v>518</v>
      </c>
      <c r="D189" t="s">
        <v>50</v>
      </c>
      <c r="E189" t="str">
        <f t="shared" si="5"/>
        <v>RR_48_B</v>
      </c>
      <c r="F189" t="str">
        <f>INDEX(raw!$B$2:$I$100,MATCH(data!D189,raw!$B$2:$B$108, 0), MATCH(data!F$1,raw!$B$1:$I$1, 0))</f>
        <v>seagrass</v>
      </c>
      <c r="G189" s="53">
        <f>IFERROR(INDEX(raw!$J$2:$K$86,MATCH(data!D189,raw!$B$2:$B$100,0),MATCH(data!B189,raw!$J$1:$K$1,0)), "NA")</f>
        <v>977</v>
      </c>
      <c r="H189" s="66" t="str">
        <f>IF($F189 = "bare", 0, IFERROR(INDEX(carbon!$A$14:$J$93,MATCH("*"&amp;$E189&amp;"*",carbon!$A$14:$A$93,0),2), "NA"))</f>
        <v>NA</v>
      </c>
      <c r="I189" s="66" t="str">
        <f>IF($F189 = "bare", 0, IFERROR(INDEX(carbon!$A$14:$J$93,MATCH("*"&amp;$E189&amp;"*",carbon!$A$14:$A$93,0),4), "NA"))</f>
        <v>NA</v>
      </c>
      <c r="J189" s="66" t="str">
        <f>IF($F189 = "bare", 0, IFERROR(INDEX(carbon!$A$14:$J$93,MATCH("*"&amp;$E189&amp;"*",carbon!$A$14:$A$93,0),6), "NA"))</f>
        <v>NA</v>
      </c>
      <c r="K189" s="66" t="str">
        <f>IF($F189 = "bare", 0, IFERROR(INDEX(carbon!$A$14:$J$93,MATCH("*"&amp;$E189&amp;"*",carbon!$A$14:$A$93,0),8), "NA"))</f>
        <v>NA</v>
      </c>
    </row>
    <row r="190" spans="1:11" ht="15.75" x14ac:dyDescent="0.25">
      <c r="A190" s="30" t="s">
        <v>454</v>
      </c>
      <c r="B190" s="30" t="s">
        <v>455</v>
      </c>
      <c r="C190" s="30" t="s">
        <v>518</v>
      </c>
      <c r="D190" t="s">
        <v>53</v>
      </c>
      <c r="E190" t="str">
        <f t="shared" si="5"/>
        <v>RR_49_A</v>
      </c>
      <c r="F190" t="str">
        <f>INDEX(raw!$B$2:$I$100,MATCH(data!D190,raw!$B$2:$B$108, 0), MATCH(data!F$1,raw!$B$1:$I$1, 0))</f>
        <v>bare</v>
      </c>
      <c r="G190" s="53">
        <f>IFERROR(INDEX(raw!$J$2:$K$86,MATCH(data!D190,raw!$B$2:$B$100,0),MATCH(data!B190,raw!$J$1:$K$1,0)), "NA")</f>
        <v>0</v>
      </c>
      <c r="H190" s="66">
        <f>IF($F190 = "bare", 0, IFERROR(INDEX(carbon!$A$14:$J$93,MATCH("*"&amp;$E190&amp;"*",carbon!$A$14:$A$93,0),2), "NA"))</f>
        <v>0</v>
      </c>
      <c r="I190" s="66">
        <f>IF($F190 = "bare", 0, IFERROR(INDEX(carbon!$A$14:$J$93,MATCH("*"&amp;$E190&amp;"*",carbon!$A$14:$A$93,0),4), "NA"))</f>
        <v>0</v>
      </c>
      <c r="J190" s="66">
        <f>IF($F190 = "bare", 0, IFERROR(INDEX(carbon!$A$14:$J$93,MATCH("*"&amp;$E190&amp;"*",carbon!$A$14:$A$93,0),6), "NA"))</f>
        <v>0</v>
      </c>
      <c r="K190" s="66">
        <f>IF($F190 = "bare", 0, IFERROR(INDEX(carbon!$A$14:$J$93,MATCH("*"&amp;$E190&amp;"*",carbon!$A$14:$A$93,0),8), "NA"))</f>
        <v>0</v>
      </c>
    </row>
    <row r="191" spans="1:11" ht="15.75" x14ac:dyDescent="0.25">
      <c r="A191" s="30" t="s">
        <v>454</v>
      </c>
      <c r="B191" s="30" t="s">
        <v>453</v>
      </c>
      <c r="C191" s="30" t="s">
        <v>518</v>
      </c>
      <c r="D191" t="s">
        <v>53</v>
      </c>
      <c r="E191" t="str">
        <f t="shared" si="5"/>
        <v>RR_49_B</v>
      </c>
      <c r="F191" t="str">
        <f>INDEX(raw!$B$2:$I$100,MATCH(data!D191,raw!$B$2:$B$108, 0), MATCH(data!F$1,raw!$B$1:$I$1, 0))</f>
        <v>bare</v>
      </c>
      <c r="G191" s="53">
        <f>IFERROR(INDEX(raw!$J$2:$K$86,MATCH(data!D191,raw!$B$2:$B$100,0),MATCH(data!B191,raw!$J$1:$K$1,0)), "NA")</f>
        <v>0</v>
      </c>
      <c r="H191" s="66">
        <f>IF($F191 = "bare", 0, IFERROR(INDEX(carbon!$A$14:$J$93,MATCH("*"&amp;$E191&amp;"*",carbon!$A$14:$A$93,0),2), "NA"))</f>
        <v>0</v>
      </c>
      <c r="I191" s="66">
        <f>IF($F191 = "bare", 0, IFERROR(INDEX(carbon!$A$14:$J$93,MATCH("*"&amp;$E191&amp;"*",carbon!$A$14:$A$93,0),4), "NA"))</f>
        <v>0</v>
      </c>
      <c r="J191" s="66">
        <f>IF($F191 = "bare", 0, IFERROR(INDEX(carbon!$A$14:$J$93,MATCH("*"&amp;$E191&amp;"*",carbon!$A$14:$A$93,0),6), "NA"))</f>
        <v>0</v>
      </c>
      <c r="K191" s="66">
        <f>IF($F191 = "bare", 0, IFERROR(INDEX(carbon!$A$14:$J$93,MATCH("*"&amp;$E191&amp;"*",carbon!$A$14:$A$93,0),8), "NA"))</f>
        <v>0</v>
      </c>
    </row>
    <row r="192" spans="1:11" ht="15.75" x14ac:dyDescent="0.25">
      <c r="A192" s="30" t="s">
        <v>454</v>
      </c>
      <c r="B192" s="30" t="s">
        <v>455</v>
      </c>
      <c r="C192" s="30" t="s">
        <v>518</v>
      </c>
      <c r="D192" t="s">
        <v>284</v>
      </c>
      <c r="E192" t="str">
        <f t="shared" si="5"/>
        <v>RR_50_A</v>
      </c>
      <c r="F192" t="str">
        <f>INDEX(raw!$B$2:$I$100,MATCH(data!D192,raw!$B$2:$B$108, 0), MATCH(data!F$1,raw!$B$1:$I$1, 0))</f>
        <v>marsh</v>
      </c>
      <c r="G192" s="53" t="str">
        <f>IFERROR(INDEX(raw!$J$2:$K$86,MATCH(data!D192,raw!$B$2:$B$100,0),MATCH(data!B192,raw!$J$1:$K$1,0)), "NA")</f>
        <v>NA</v>
      </c>
      <c r="H192" s="66" t="str">
        <f>IF($F192 = "bare", 0, IFERROR(INDEX(carbon!$A$14:$J$93,MATCH("*"&amp;$E192&amp;"*",carbon!$A$14:$A$93,0),2), "NA"))</f>
        <v>NA</v>
      </c>
      <c r="I192" s="66" t="str">
        <f>IF($F192 = "bare", 0, IFERROR(INDEX(carbon!$A$14:$J$93,MATCH("*"&amp;$E192&amp;"*",carbon!$A$14:$A$93,0),4), "NA"))</f>
        <v>NA</v>
      </c>
      <c r="J192" s="66" t="str">
        <f>IF($F192 = "bare", 0, IFERROR(INDEX(carbon!$A$14:$J$93,MATCH("*"&amp;$E192&amp;"*",carbon!$A$14:$A$93,0),6), "NA"))</f>
        <v>NA</v>
      </c>
      <c r="K192" s="66" t="str">
        <f>IF($F192 = "bare", 0, IFERROR(INDEX(carbon!$A$14:$J$93,MATCH("*"&amp;$E192&amp;"*",carbon!$A$14:$A$93,0),8), "NA"))</f>
        <v>NA</v>
      </c>
    </row>
    <row r="193" spans="1:11" ht="15.75" x14ac:dyDescent="0.25">
      <c r="A193" s="30" t="s">
        <v>454</v>
      </c>
      <c r="B193" s="30" t="s">
        <v>453</v>
      </c>
      <c r="C193" s="30" t="s">
        <v>518</v>
      </c>
      <c r="D193" t="s">
        <v>284</v>
      </c>
      <c r="E193" t="str">
        <f t="shared" si="5"/>
        <v>RR_50_B</v>
      </c>
      <c r="F193" t="str">
        <f>INDEX(raw!$B$2:$I$100,MATCH(data!D193,raw!$B$2:$B$108, 0), MATCH(data!F$1,raw!$B$1:$I$1, 0))</f>
        <v>marsh</v>
      </c>
      <c r="G193" s="53" t="str">
        <f>IFERROR(INDEX(raw!$J$2:$K$86,MATCH(data!D193,raw!$B$2:$B$100,0),MATCH(data!B193,raw!$J$1:$K$1,0)), "NA")</f>
        <v>NA</v>
      </c>
      <c r="H193" s="66" t="str">
        <f>IF($F193 = "bare", 0, IFERROR(INDEX(carbon!$A$14:$J$93,MATCH("*"&amp;$E193&amp;"*",carbon!$A$14:$A$93,0),2), "NA"))</f>
        <v>NA</v>
      </c>
      <c r="I193" s="66" t="str">
        <f>IF($F193 = "bare", 0, IFERROR(INDEX(carbon!$A$14:$J$93,MATCH("*"&amp;$E193&amp;"*",carbon!$A$14:$A$93,0),4), "NA"))</f>
        <v>NA</v>
      </c>
      <c r="J193" s="66" t="str">
        <f>IF($F193 = "bare", 0, IFERROR(INDEX(carbon!$A$14:$J$93,MATCH("*"&amp;$E193&amp;"*",carbon!$A$14:$A$93,0),6), "NA"))</f>
        <v>NA</v>
      </c>
      <c r="K193" s="66" t="str">
        <f>IF($F193 = "bare", 0, IFERROR(INDEX(carbon!$A$14:$J$93,MATCH("*"&amp;$E193&amp;"*",carbon!$A$14:$A$93,0),8), "NA"))</f>
        <v>NA</v>
      </c>
    </row>
    <row r="194" spans="1:11" ht="15.75" x14ac:dyDescent="0.25">
      <c r="A194" s="30" t="s">
        <v>454</v>
      </c>
      <c r="B194" s="30" t="s">
        <v>455</v>
      </c>
      <c r="C194" s="30" t="s">
        <v>518</v>
      </c>
      <c r="D194" t="s">
        <v>119</v>
      </c>
      <c r="E194" t="str">
        <f t="shared" ref="E194:E199" si="6">CONCATENATE(SUBSTITUTE(D194, " ", "_"), "_", IF(B194 = "Leaves", "A", IF(B194 = "Roots", "B", NA)))</f>
        <v>RR_51_A</v>
      </c>
      <c r="F194" t="str">
        <f>INDEX(raw!$B$2:$I$100,MATCH(data!D194,raw!$B$2:$B$108, 0), MATCH(data!F$1,raw!$B$1:$I$1, 0))</f>
        <v>bare</v>
      </c>
      <c r="G194" s="53">
        <f>IFERROR(INDEX(raw!$J$2:$K$86,MATCH(data!D194,raw!$B$2:$B$100,0),MATCH(data!B194,raw!$J$1:$K$1,0)), "NA")</f>
        <v>0</v>
      </c>
      <c r="H194" s="66">
        <f>IF($F194 = "bare", 0, IFERROR(INDEX(carbon!$A$14:$J$93,MATCH("*"&amp;$E194&amp;"*",carbon!$A$14:$A$93,0),2), "NA"))</f>
        <v>0</v>
      </c>
      <c r="I194" s="66">
        <f>IF($F194 = "bare", 0, IFERROR(INDEX(carbon!$A$14:$J$93,MATCH("*"&amp;$E194&amp;"*",carbon!$A$14:$A$93,0),4), "NA"))</f>
        <v>0</v>
      </c>
      <c r="J194" s="66">
        <f>IF($F194 = "bare", 0, IFERROR(INDEX(carbon!$A$14:$J$93,MATCH("*"&amp;$E194&amp;"*",carbon!$A$14:$A$93,0),6), "NA"))</f>
        <v>0</v>
      </c>
      <c r="K194" s="66">
        <f>IF($F194 = "bare", 0, IFERROR(INDEX(carbon!$A$14:$J$93,MATCH("*"&amp;$E194&amp;"*",carbon!$A$14:$A$93,0),8), "NA"))</f>
        <v>0</v>
      </c>
    </row>
    <row r="195" spans="1:11" ht="15.75" x14ac:dyDescent="0.25">
      <c r="A195" s="30" t="s">
        <v>454</v>
      </c>
      <c r="B195" s="30" t="s">
        <v>453</v>
      </c>
      <c r="C195" s="30" t="s">
        <v>518</v>
      </c>
      <c r="D195" t="s">
        <v>119</v>
      </c>
      <c r="E195" t="str">
        <f t="shared" si="6"/>
        <v>RR_51_B</v>
      </c>
      <c r="F195" t="str">
        <f>INDEX(raw!$B$2:$I$100,MATCH(data!D195,raw!$B$2:$B$108, 0), MATCH(data!F$1,raw!$B$1:$I$1, 0))</f>
        <v>bare</v>
      </c>
      <c r="G195" s="53">
        <f>IFERROR(INDEX(raw!$J$2:$K$86,MATCH(data!D195,raw!$B$2:$B$100,0),MATCH(data!B195,raw!$J$1:$K$1,0)), "NA")</f>
        <v>0</v>
      </c>
      <c r="H195" s="66">
        <f>IF($F195 = "bare", 0, IFERROR(INDEX(carbon!$A$14:$J$93,MATCH("*"&amp;$E195&amp;"*",carbon!$A$14:$A$93,0),2), "NA"))</f>
        <v>0</v>
      </c>
      <c r="I195" s="66">
        <f>IF($F195 = "bare", 0, IFERROR(INDEX(carbon!$A$14:$J$93,MATCH("*"&amp;$E195&amp;"*",carbon!$A$14:$A$93,0),4), "NA"))</f>
        <v>0</v>
      </c>
      <c r="J195" s="66">
        <f>IF($F195 = "bare", 0, IFERROR(INDEX(carbon!$A$14:$J$93,MATCH("*"&amp;$E195&amp;"*",carbon!$A$14:$A$93,0),6), "NA"))</f>
        <v>0</v>
      </c>
      <c r="K195" s="66">
        <f>IF($F195 = "bare", 0, IFERROR(INDEX(carbon!$A$14:$J$93,MATCH("*"&amp;$E195&amp;"*",carbon!$A$14:$A$93,0),8), "NA"))</f>
        <v>0</v>
      </c>
    </row>
    <row r="196" spans="1:11" ht="15.75" x14ac:dyDescent="0.25">
      <c r="A196" s="30" t="s">
        <v>454</v>
      </c>
      <c r="B196" s="30" t="s">
        <v>455</v>
      </c>
      <c r="C196" s="30" t="s">
        <v>518</v>
      </c>
      <c r="D196" t="s">
        <v>122</v>
      </c>
      <c r="E196" t="str">
        <f t="shared" si="6"/>
        <v>RR_52_A</v>
      </c>
      <c r="F196" t="str">
        <f>INDEX(raw!$B$2:$I$100,MATCH(data!D196,raw!$B$2:$B$108, 0), MATCH(data!F$1,raw!$B$1:$I$1, 0))</f>
        <v>bare</v>
      </c>
      <c r="G196" s="53">
        <f>IFERROR(INDEX(raw!$J$2:$K$86,MATCH(data!D196,raw!$B$2:$B$100,0),MATCH(data!B196,raw!$J$1:$K$1,0)), "NA")</f>
        <v>0</v>
      </c>
      <c r="H196" s="66">
        <f>IF($F196 = "bare", 0, IFERROR(INDEX(carbon!$A$14:$J$93,MATCH("*"&amp;$E196&amp;"*",carbon!$A$14:$A$93,0),2), "NA"))</f>
        <v>0</v>
      </c>
      <c r="I196" s="66">
        <f>IF($F196 = "bare", 0, IFERROR(INDEX(carbon!$A$14:$J$93,MATCH("*"&amp;$E196&amp;"*",carbon!$A$14:$A$93,0),4), "NA"))</f>
        <v>0</v>
      </c>
      <c r="J196" s="66">
        <f>IF($F196 = "bare", 0, IFERROR(INDEX(carbon!$A$14:$J$93,MATCH("*"&amp;$E196&amp;"*",carbon!$A$14:$A$93,0),6), "NA"))</f>
        <v>0</v>
      </c>
      <c r="K196" s="66">
        <f>IF($F196 = "bare", 0, IFERROR(INDEX(carbon!$A$14:$J$93,MATCH("*"&amp;$E196&amp;"*",carbon!$A$14:$A$93,0),8), "NA"))</f>
        <v>0</v>
      </c>
    </row>
    <row r="197" spans="1:11" ht="15.75" x14ac:dyDescent="0.25">
      <c r="A197" s="30" t="s">
        <v>454</v>
      </c>
      <c r="B197" s="30" t="s">
        <v>453</v>
      </c>
      <c r="C197" s="30" t="s">
        <v>518</v>
      </c>
      <c r="D197" t="s">
        <v>122</v>
      </c>
      <c r="E197" t="str">
        <f t="shared" si="6"/>
        <v>RR_52_B</v>
      </c>
      <c r="F197" t="str">
        <f>INDEX(raw!$B$2:$I$100,MATCH(data!D197,raw!$B$2:$B$108, 0), MATCH(data!F$1,raw!$B$1:$I$1, 0))</f>
        <v>bare</v>
      </c>
      <c r="G197" s="53">
        <f>IFERROR(INDEX(raw!$J$2:$K$86,MATCH(data!D197,raw!$B$2:$B$100,0),MATCH(data!B197,raw!$J$1:$K$1,0)), "NA")</f>
        <v>0</v>
      </c>
      <c r="H197" s="66">
        <f>IF($F197 = "bare", 0, IFERROR(INDEX(carbon!$A$14:$J$93,MATCH("*"&amp;$E197&amp;"*",carbon!$A$14:$A$93,0),2), "NA"))</f>
        <v>0</v>
      </c>
      <c r="I197" s="66">
        <f>IF($F197 = "bare", 0, IFERROR(INDEX(carbon!$A$14:$J$93,MATCH("*"&amp;$E197&amp;"*",carbon!$A$14:$A$93,0),4), "NA"))</f>
        <v>0</v>
      </c>
      <c r="J197" s="66">
        <f>IF($F197 = "bare", 0, IFERROR(INDEX(carbon!$A$14:$J$93,MATCH("*"&amp;$E197&amp;"*",carbon!$A$14:$A$93,0),6), "NA"))</f>
        <v>0</v>
      </c>
      <c r="K197" s="66">
        <f>IF($F197 = "bare", 0, IFERROR(INDEX(carbon!$A$14:$J$93,MATCH("*"&amp;$E197&amp;"*",carbon!$A$14:$A$93,0),8), "NA"))</f>
        <v>0</v>
      </c>
    </row>
    <row r="198" spans="1:11" ht="15.75" x14ac:dyDescent="0.25">
      <c r="A198" s="30" t="s">
        <v>454</v>
      </c>
      <c r="B198" s="30" t="s">
        <v>455</v>
      </c>
      <c r="C198" s="30" t="s">
        <v>518</v>
      </c>
      <c r="D198" t="s">
        <v>285</v>
      </c>
      <c r="E198" t="str">
        <f t="shared" si="6"/>
        <v>RR_53_A</v>
      </c>
      <c r="F198" t="str">
        <f>INDEX(raw!$B$2:$I$100,MATCH(data!D198,raw!$B$2:$B$108, 0), MATCH(data!F$1,raw!$B$1:$I$1, 0))</f>
        <v>marsh</v>
      </c>
      <c r="G198" s="53" t="str">
        <f>IFERROR(INDEX(raw!$J$2:$K$86,MATCH(data!D198,raw!$B$2:$B$100,0),MATCH(data!B198,raw!$J$1:$K$1,0)), "NA")</f>
        <v>NA</v>
      </c>
      <c r="H198" s="66" t="str">
        <f>IF($F198 = "bare", 0, IFERROR(INDEX(carbon!$A$14:$J$93,MATCH("*"&amp;$E198&amp;"*",carbon!$A$14:$A$93,0),2), "NA"))</f>
        <v>NA</v>
      </c>
      <c r="I198" s="66" t="str">
        <f>IF($F198 = "bare", 0, IFERROR(INDEX(carbon!$A$14:$J$93,MATCH("*"&amp;$E198&amp;"*",carbon!$A$14:$A$93,0),4), "NA"))</f>
        <v>NA</v>
      </c>
      <c r="J198" s="66" t="str">
        <f>IF($F198 = "bare", 0, IFERROR(INDEX(carbon!$A$14:$J$93,MATCH("*"&amp;$E198&amp;"*",carbon!$A$14:$A$93,0),6), "NA"))</f>
        <v>NA</v>
      </c>
      <c r="K198" s="66" t="str">
        <f>IF($F198 = "bare", 0, IFERROR(INDEX(carbon!$A$14:$J$93,MATCH("*"&amp;$E198&amp;"*",carbon!$A$14:$A$93,0),8), "NA"))</f>
        <v>NA</v>
      </c>
    </row>
    <row r="199" spans="1:11" ht="15.75" x14ac:dyDescent="0.25">
      <c r="A199" s="30" t="s">
        <v>454</v>
      </c>
      <c r="B199" s="30" t="s">
        <v>453</v>
      </c>
      <c r="C199" s="30" t="s">
        <v>518</v>
      </c>
      <c r="D199" t="s">
        <v>285</v>
      </c>
      <c r="E199" t="str">
        <f t="shared" si="6"/>
        <v>RR_53_B</v>
      </c>
      <c r="F199" t="str">
        <f>INDEX(raw!$B$2:$I$100,MATCH(data!D199,raw!$B$2:$B$108, 0), MATCH(data!F$1,raw!$B$1:$I$1, 0))</f>
        <v>marsh</v>
      </c>
      <c r="G199" s="53" t="str">
        <f>IFERROR(INDEX(raw!$J$2:$K$86,MATCH(data!D199,raw!$B$2:$B$100,0),MATCH(data!B199,raw!$J$1:$K$1,0)), "NA")</f>
        <v>NA</v>
      </c>
      <c r="H199" s="66" t="str">
        <f>IF($F199 = "bare", 0, IFERROR(INDEX(carbon!$A$14:$J$93,MATCH("*"&amp;$E199&amp;"*",carbon!$A$14:$A$93,0),2), "NA"))</f>
        <v>NA</v>
      </c>
      <c r="I199" s="66" t="str">
        <f>IF($F199 = "bare", 0, IFERROR(INDEX(carbon!$A$14:$J$93,MATCH("*"&amp;$E199&amp;"*",carbon!$A$14:$A$93,0),4), "NA"))</f>
        <v>NA</v>
      </c>
      <c r="J199" s="66" t="str">
        <f>IF($F199 = "bare", 0, IFERROR(INDEX(carbon!$A$14:$J$93,MATCH("*"&amp;$E199&amp;"*",carbon!$A$14:$A$93,0),6), "NA"))</f>
        <v>NA</v>
      </c>
      <c r="K199" s="66" t="str">
        <f>IF($F199 = "bare", 0, IFERROR(INDEX(carbon!$A$14:$J$93,MATCH("*"&amp;$E199&amp;"*",carbon!$A$14:$A$93,0),8), "NA"))</f>
        <v>NA</v>
      </c>
    </row>
  </sheetData>
  <sortState ref="D2:D1048527">
    <sortCondition ref="D2:D104852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O100"/>
  <sheetViews>
    <sheetView workbookViewId="0">
      <pane ySplit="1" topLeftCell="A2" activePane="bottomLeft" state="frozen"/>
      <selection activeCell="K76" sqref="K76"/>
      <selection pane="bottomLeft" activeCell="B83" sqref="B83"/>
    </sheetView>
  </sheetViews>
  <sheetFormatPr defaultColWidth="8.7109375" defaultRowHeight="15" x14ac:dyDescent="0.25"/>
  <cols>
    <col min="1" max="5" width="8.7109375" style="1"/>
    <col min="6" max="7" width="15.5703125" style="1" customWidth="1"/>
    <col min="8" max="8" width="17.140625" style="1" customWidth="1"/>
    <col min="9" max="9" width="13.28515625" style="2" customWidth="1"/>
    <col min="10" max="12" width="15.42578125" style="2" customWidth="1"/>
    <col min="13" max="13" width="21.42578125" style="1" customWidth="1"/>
    <col min="14" max="14" width="16" style="1" customWidth="1"/>
    <col min="15" max="15" width="27.5703125" style="1" customWidth="1"/>
    <col min="16" max="16" width="15.85546875" style="1" customWidth="1"/>
    <col min="17" max="16384" width="8.7109375" style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2" t="s">
        <v>455</v>
      </c>
      <c r="K1" s="52" t="s">
        <v>453</v>
      </c>
      <c r="L1" s="4" t="s">
        <v>9</v>
      </c>
      <c r="M1" s="3" t="s">
        <v>10</v>
      </c>
      <c r="N1" s="3" t="s">
        <v>11</v>
      </c>
      <c r="O1" s="3" t="s">
        <v>12</v>
      </c>
    </row>
    <row r="2" spans="1:15" x14ac:dyDescent="0.25">
      <c r="A2" s="1" t="s">
        <v>13</v>
      </c>
      <c r="B2" s="1" t="s">
        <v>14</v>
      </c>
      <c r="C2" s="1" t="s">
        <v>15</v>
      </c>
      <c r="D2" s="1">
        <v>-8.6904504492988384</v>
      </c>
      <c r="E2" s="1">
        <v>40.672105768584252</v>
      </c>
      <c r="F2" s="1">
        <v>2025001</v>
      </c>
      <c r="G2" s="1" t="s">
        <v>16</v>
      </c>
      <c r="H2" s="1" t="s">
        <v>17</v>
      </c>
      <c r="I2" s="2" t="s">
        <v>18</v>
      </c>
      <c r="J2" s="2">
        <f>VLOOKUP($F2,'seagrass biomass'!$G:$L,2,FALSE)</f>
        <v>0</v>
      </c>
      <c r="K2" s="2">
        <f>VLOOKUP($F2,'seagrass biomass'!$G:$L,3,FALSE)</f>
        <v>0</v>
      </c>
      <c r="L2" s="2" t="s">
        <v>19</v>
      </c>
    </row>
    <row r="3" spans="1:15" x14ac:dyDescent="0.25">
      <c r="A3" s="1" t="s">
        <v>20</v>
      </c>
      <c r="B3" s="1" t="s">
        <v>21</v>
      </c>
      <c r="C3" s="1" t="s">
        <v>15</v>
      </c>
      <c r="D3" s="1">
        <v>-8.6905031982786536</v>
      </c>
      <c r="E3" s="1">
        <v>40.672359702115187</v>
      </c>
      <c r="F3" s="1">
        <v>2025002</v>
      </c>
      <c r="G3" s="1" t="s">
        <v>22</v>
      </c>
      <c r="H3" s="1" t="s">
        <v>23</v>
      </c>
      <c r="I3" s="2" t="s">
        <v>24</v>
      </c>
      <c r="J3" s="2">
        <f>VLOOKUP($F3,'seagrass biomass'!$G:$L,2,FALSE)</f>
        <v>0</v>
      </c>
      <c r="K3" s="2">
        <f>VLOOKUP($F3,'seagrass biomass'!$G:$L,3,FALSE)</f>
        <v>0</v>
      </c>
      <c r="L3" s="2" t="s">
        <v>19</v>
      </c>
    </row>
    <row r="4" spans="1:15" x14ac:dyDescent="0.25">
      <c r="A4" s="1" t="s">
        <v>13</v>
      </c>
      <c r="B4" s="1" t="s">
        <v>25</v>
      </c>
      <c r="C4" s="1" t="s">
        <v>15</v>
      </c>
      <c r="D4" s="1">
        <v>-8.6909022956039852</v>
      </c>
      <c r="E4" s="1">
        <v>40.672396514158152</v>
      </c>
      <c r="F4" s="1">
        <v>2025003</v>
      </c>
      <c r="G4" s="1" t="s">
        <v>26</v>
      </c>
      <c r="H4" s="1" t="s">
        <v>27</v>
      </c>
      <c r="I4" s="2" t="s">
        <v>24</v>
      </c>
      <c r="J4" s="2">
        <f>VLOOKUP($F4,'seagrass biomass'!$G:$L,2,FALSE)</f>
        <v>315</v>
      </c>
      <c r="K4" s="2">
        <f>VLOOKUP($F4,'seagrass biomass'!$G:$L,3,FALSE)</f>
        <v>250</v>
      </c>
      <c r="L4" s="2" t="s">
        <v>19</v>
      </c>
      <c r="M4" s="5" t="s">
        <v>28</v>
      </c>
      <c r="N4" s="5" t="s">
        <v>28</v>
      </c>
    </row>
    <row r="5" spans="1:15" x14ac:dyDescent="0.25">
      <c r="A5" s="1" t="s">
        <v>13</v>
      </c>
      <c r="B5" s="1" t="s">
        <v>29</v>
      </c>
      <c r="C5" s="1" t="s">
        <v>15</v>
      </c>
      <c r="D5" s="1">
        <v>-8.6913541458376908</v>
      </c>
      <c r="E5" s="1">
        <v>40.672687257963432</v>
      </c>
      <c r="F5" s="1">
        <v>2025004</v>
      </c>
      <c r="G5" s="1" t="s">
        <v>30</v>
      </c>
      <c r="H5" s="1" t="s">
        <v>31</v>
      </c>
      <c r="I5" s="2" t="s">
        <v>24</v>
      </c>
      <c r="J5" s="2">
        <f>VLOOKUP($F5,'seagrass biomass'!$G:$L,2,FALSE)</f>
        <v>42</v>
      </c>
      <c r="K5" s="2">
        <f>VLOOKUP($F5,'seagrass biomass'!$G:$L,3,FALSE)</f>
        <v>141</v>
      </c>
      <c r="L5" s="2" t="s">
        <v>19</v>
      </c>
    </row>
    <row r="6" spans="1:15" x14ac:dyDescent="0.25">
      <c r="A6" s="1" t="s">
        <v>13</v>
      </c>
      <c r="B6" s="1" t="s">
        <v>32</v>
      </c>
      <c r="C6" s="1" t="s">
        <v>15</v>
      </c>
      <c r="D6" s="6">
        <v>-8.6918059999999997</v>
      </c>
      <c r="E6" s="6">
        <v>40.672977999999993</v>
      </c>
      <c r="F6" s="1">
        <v>2025005</v>
      </c>
      <c r="G6" s="1" t="s">
        <v>33</v>
      </c>
      <c r="H6" s="1" t="s">
        <v>34</v>
      </c>
      <c r="I6" s="2" t="s">
        <v>24</v>
      </c>
      <c r="J6" s="2">
        <f>VLOOKUP($F6,'seagrass biomass'!$G:$L,2,FALSE)</f>
        <v>2222</v>
      </c>
      <c r="K6" s="2">
        <f>VLOOKUP($F6,'seagrass biomass'!$G:$L,3,FALSE)</f>
        <v>939</v>
      </c>
      <c r="L6" s="2" t="s">
        <v>19</v>
      </c>
      <c r="M6" s="5"/>
      <c r="N6" s="5"/>
    </row>
    <row r="7" spans="1:15" x14ac:dyDescent="0.25">
      <c r="A7" s="1" t="s">
        <v>13</v>
      </c>
      <c r="B7" s="1" t="s">
        <v>35</v>
      </c>
      <c r="C7" s="1" t="s">
        <v>15</v>
      </c>
      <c r="D7" s="6">
        <v>-8.6914241383270223</v>
      </c>
      <c r="E7" s="6">
        <v>40.673322034524048</v>
      </c>
      <c r="F7" s="1">
        <v>2025006</v>
      </c>
      <c r="G7" s="1" t="s">
        <v>36</v>
      </c>
      <c r="H7" s="1" t="s">
        <v>37</v>
      </c>
      <c r="I7" s="2" t="s">
        <v>38</v>
      </c>
      <c r="J7" s="2">
        <f>VLOOKUP($F7,'seagrass biomass'!$G:$L,2,FALSE)</f>
        <v>17</v>
      </c>
      <c r="K7" s="2">
        <f>VLOOKUP($F7,'seagrass biomass'!$G:$L,3,FALSE)</f>
        <v>0</v>
      </c>
      <c r="L7" s="2" t="s">
        <v>19</v>
      </c>
    </row>
    <row r="8" spans="1:15" x14ac:dyDescent="0.25">
      <c r="A8" s="1" t="s">
        <v>13</v>
      </c>
      <c r="B8" s="1" t="s">
        <v>39</v>
      </c>
      <c r="C8" s="1" t="s">
        <v>15</v>
      </c>
      <c r="D8" s="1">
        <v>-8.6909722835196561</v>
      </c>
      <c r="E8" s="1">
        <v>40.67303129100803</v>
      </c>
      <c r="F8" s="1">
        <v>2025007</v>
      </c>
      <c r="G8" s="1" t="s">
        <v>40</v>
      </c>
      <c r="H8" s="1" t="s">
        <v>41</v>
      </c>
      <c r="I8" s="2" t="s">
        <v>18</v>
      </c>
      <c r="J8" s="2">
        <f>VLOOKUP($F8,'seagrass biomass'!$G:$L,2,FALSE)</f>
        <v>0</v>
      </c>
      <c r="K8" s="2">
        <f>VLOOKUP($F8,'seagrass biomass'!$G:$L,3,FALSE)</f>
        <v>0</v>
      </c>
      <c r="L8" s="2" t="s">
        <v>19</v>
      </c>
    </row>
    <row r="9" spans="1:15" x14ac:dyDescent="0.25">
      <c r="A9" s="1" t="s">
        <v>20</v>
      </c>
      <c r="B9" s="1" t="s">
        <v>42</v>
      </c>
      <c r="C9" s="1" t="s">
        <v>15</v>
      </c>
      <c r="D9" s="1">
        <v>-8.6906445798939327</v>
      </c>
      <c r="E9" s="1">
        <v>40.672993869562987</v>
      </c>
      <c r="F9" s="1">
        <v>2025008</v>
      </c>
      <c r="G9" s="1" t="s">
        <v>43</v>
      </c>
      <c r="H9" s="1" t="s">
        <v>44</v>
      </c>
      <c r="I9" s="2" t="s">
        <v>24</v>
      </c>
      <c r="J9" s="2">
        <f>VLOOKUP($F9,'seagrass biomass'!$G:$L,2,FALSE)</f>
        <v>2418</v>
      </c>
      <c r="K9" s="2">
        <f>VLOOKUP($F9,'seagrass biomass'!$G:$L,3,FALSE)</f>
        <v>1706</v>
      </c>
      <c r="L9" s="2" t="s">
        <v>19</v>
      </c>
      <c r="M9" s="5"/>
      <c r="N9" s="5"/>
      <c r="O9" s="5"/>
    </row>
    <row r="10" spans="1:15" x14ac:dyDescent="0.25">
      <c r="A10" s="1" t="s">
        <v>20</v>
      </c>
      <c r="B10" s="1" t="s">
        <v>45</v>
      </c>
      <c r="C10" s="1" t="s">
        <v>15</v>
      </c>
      <c r="D10" s="1">
        <v>-8.6908497844413599</v>
      </c>
      <c r="E10" s="1">
        <v>40.672778324977287</v>
      </c>
      <c r="F10" s="1">
        <v>2025009</v>
      </c>
      <c r="G10" s="1" t="s">
        <v>46</v>
      </c>
      <c r="H10" s="1" t="s">
        <v>47</v>
      </c>
      <c r="I10" s="2" t="s">
        <v>24</v>
      </c>
      <c r="J10" s="2">
        <f>VLOOKUP($F10,'seagrass biomass'!$G:$L,2,FALSE)</f>
        <v>1377</v>
      </c>
      <c r="K10" s="2">
        <f>VLOOKUP($F10,'seagrass biomass'!$G:$L,3,FALSE)</f>
        <v>1864</v>
      </c>
      <c r="L10" s="2" t="s">
        <v>19</v>
      </c>
    </row>
    <row r="11" spans="1:15" x14ac:dyDescent="0.25">
      <c r="A11" s="1" t="s">
        <v>13</v>
      </c>
      <c r="B11" s="1" t="s">
        <v>48</v>
      </c>
      <c r="C11" s="1" t="s">
        <v>15</v>
      </c>
      <c r="D11" s="1">
        <v>-8.6905204326409766</v>
      </c>
      <c r="E11" s="1">
        <v>40.672740545723308</v>
      </c>
      <c r="F11" s="1">
        <v>2025010</v>
      </c>
      <c r="G11" s="1">
        <v>2025049</v>
      </c>
      <c r="H11" s="1" t="s">
        <v>49</v>
      </c>
      <c r="I11" s="2" t="s">
        <v>24</v>
      </c>
      <c r="J11" s="2">
        <f>VLOOKUP($F11,'seagrass biomass'!$G:$L,2,FALSE)</f>
        <v>2797</v>
      </c>
      <c r="K11" s="2">
        <f>VLOOKUP($F11,'seagrass biomass'!$G:$L,3,FALSE)</f>
        <v>1048</v>
      </c>
      <c r="L11" s="2" t="s">
        <v>19</v>
      </c>
      <c r="M11" s="5"/>
      <c r="N11" s="5"/>
    </row>
    <row r="12" spans="1:15" x14ac:dyDescent="0.25">
      <c r="A12" s="1" t="s">
        <v>20</v>
      </c>
      <c r="B12" s="1" t="s">
        <v>50</v>
      </c>
      <c r="C12" s="1" t="s">
        <v>15</v>
      </c>
      <c r="D12" s="1">
        <v>-8.6902337000490792</v>
      </c>
      <c r="E12" s="1">
        <v>40.672736849908127</v>
      </c>
      <c r="F12" s="1">
        <v>2025011</v>
      </c>
      <c r="G12" s="1" t="s">
        <v>51</v>
      </c>
      <c r="H12" s="1" t="s">
        <v>52</v>
      </c>
      <c r="I12" s="2" t="s">
        <v>24</v>
      </c>
      <c r="J12" s="2">
        <f>VLOOKUP($F12,'seagrass biomass'!$G:$L,2,FALSE)</f>
        <v>3628</v>
      </c>
      <c r="K12" s="2">
        <f>VLOOKUP($F12,'seagrass biomass'!$G:$L,3,FALSE)</f>
        <v>977</v>
      </c>
      <c r="L12" s="2" t="s">
        <v>19</v>
      </c>
      <c r="O12" s="5"/>
    </row>
    <row r="13" spans="1:15" x14ac:dyDescent="0.25">
      <c r="A13" s="1" t="s">
        <v>20</v>
      </c>
      <c r="B13" s="1" t="s">
        <v>53</v>
      </c>
      <c r="C13" s="1" t="s">
        <v>15</v>
      </c>
      <c r="D13" s="1">
        <v>-8.6897935727161784</v>
      </c>
      <c r="E13" s="1">
        <v>40.672959682101009</v>
      </c>
      <c r="F13" s="1">
        <v>2025012</v>
      </c>
      <c r="G13" s="1" t="s">
        <v>54</v>
      </c>
      <c r="H13" s="1" t="s">
        <v>55</v>
      </c>
      <c r="I13" s="2" t="s">
        <v>38</v>
      </c>
      <c r="J13" s="2">
        <f>VLOOKUP($F13,'seagrass biomass'!$G:$L,2,FALSE)</f>
        <v>0</v>
      </c>
      <c r="K13" s="2">
        <f>VLOOKUP($F13,'seagrass biomass'!$G:$L,3,FALSE)</f>
        <v>0</v>
      </c>
      <c r="L13" s="2" t="s">
        <v>19</v>
      </c>
    </row>
    <row r="14" spans="1:15" x14ac:dyDescent="0.25">
      <c r="A14" s="1" t="s">
        <v>13</v>
      </c>
      <c r="B14" s="1" t="s">
        <v>56</v>
      </c>
      <c r="C14" s="1" t="s">
        <v>15</v>
      </c>
      <c r="D14" s="1">
        <v>-8.6901385657493293</v>
      </c>
      <c r="E14" s="1">
        <v>40.673084575990693</v>
      </c>
      <c r="F14" s="1">
        <v>2025013</v>
      </c>
      <c r="G14" s="1" t="s">
        <v>57</v>
      </c>
      <c r="H14" s="1" t="s">
        <v>58</v>
      </c>
      <c r="I14" s="2" t="s">
        <v>24</v>
      </c>
      <c r="J14" s="2">
        <f>VLOOKUP($F14,'seagrass biomass'!$G:$L,2,FALSE)</f>
        <v>1701</v>
      </c>
      <c r="K14" s="2">
        <f>VLOOKUP($F14,'seagrass biomass'!$G:$L,3,FALSE)</f>
        <v>1821</v>
      </c>
      <c r="L14" s="2" t="s">
        <v>19</v>
      </c>
    </row>
    <row r="15" spans="1:15" x14ac:dyDescent="0.25">
      <c r="A15" s="1" t="s">
        <v>13</v>
      </c>
      <c r="B15" s="1" t="s">
        <v>59</v>
      </c>
      <c r="C15" s="1" t="s">
        <v>15</v>
      </c>
      <c r="D15" s="1">
        <v>-8.6905904172729436</v>
      </c>
      <c r="E15" s="1">
        <v>40.673375322754858</v>
      </c>
      <c r="F15" s="1">
        <v>2025014</v>
      </c>
      <c r="G15" s="1" t="s">
        <v>60</v>
      </c>
      <c r="H15" s="1" t="s">
        <v>61</v>
      </c>
      <c r="I15" s="2" t="s">
        <v>18</v>
      </c>
      <c r="J15" s="2">
        <f>VLOOKUP($F15,'seagrass biomass'!$G:$L,2,FALSE)</f>
        <v>0</v>
      </c>
      <c r="K15" s="2">
        <f>VLOOKUP($F15,'seagrass biomass'!$G:$L,3,FALSE)</f>
        <v>0</v>
      </c>
      <c r="L15" s="2" t="s">
        <v>19</v>
      </c>
    </row>
    <row r="16" spans="1:15" x14ac:dyDescent="0.25">
      <c r="A16" s="1" t="s">
        <v>20</v>
      </c>
      <c r="B16" s="1" t="s">
        <v>62</v>
      </c>
      <c r="C16" s="1" t="s">
        <v>15</v>
      </c>
      <c r="D16" s="1">
        <v>-8.6906575119461831</v>
      </c>
      <c r="E16" s="1">
        <v>40.673319516949107</v>
      </c>
      <c r="F16" s="1">
        <v>2025015</v>
      </c>
      <c r="G16" s="1" t="s">
        <v>63</v>
      </c>
      <c r="H16" s="1" t="s">
        <v>64</v>
      </c>
      <c r="I16" s="2" t="s">
        <v>18</v>
      </c>
      <c r="J16" s="2">
        <f>VLOOKUP($F16,'seagrass biomass'!$G:$L,2,FALSE)</f>
        <v>31</v>
      </c>
      <c r="K16" s="2">
        <f>VLOOKUP($F16,'seagrass biomass'!$G:$L,3,FALSE)</f>
        <v>189</v>
      </c>
      <c r="L16" s="2" t="s">
        <v>19</v>
      </c>
    </row>
    <row r="17" spans="1:15" x14ac:dyDescent="0.25">
      <c r="A17" s="1" t="s">
        <v>13</v>
      </c>
      <c r="B17" s="1" t="s">
        <v>65</v>
      </c>
      <c r="C17" s="1" t="s">
        <v>15</v>
      </c>
      <c r="D17" s="1">
        <v>-8.6910422727253138</v>
      </c>
      <c r="E17" s="1">
        <v>40.673666067750403</v>
      </c>
      <c r="F17" s="1">
        <v>2025016</v>
      </c>
      <c r="G17" s="1" t="s">
        <v>66</v>
      </c>
      <c r="H17" s="1" t="s">
        <v>67</v>
      </c>
      <c r="I17" s="2" t="s">
        <v>24</v>
      </c>
      <c r="J17" s="2">
        <f>VLOOKUP($F17,'seagrass biomass'!$G:$L,2,FALSE)</f>
        <v>871</v>
      </c>
      <c r="K17" s="2">
        <f>VLOOKUP($F17,'seagrass biomass'!$G:$L,3,FALSE)</f>
        <v>401</v>
      </c>
      <c r="L17" s="2" t="s">
        <v>19</v>
      </c>
      <c r="O17" s="1" t="s">
        <v>68</v>
      </c>
    </row>
    <row r="18" spans="1:15" x14ac:dyDescent="0.25">
      <c r="A18" s="1" t="s">
        <v>13</v>
      </c>
      <c r="B18" s="1" t="s">
        <v>69</v>
      </c>
      <c r="C18" s="1" t="s">
        <v>15</v>
      </c>
      <c r="D18" s="1">
        <v>-8.6906604031948032</v>
      </c>
      <c r="E18" s="1">
        <v>40.674010099678952</v>
      </c>
      <c r="F18" s="1">
        <v>2025017</v>
      </c>
      <c r="G18" s="1" t="s">
        <v>70</v>
      </c>
      <c r="H18" s="1" t="s">
        <v>71</v>
      </c>
      <c r="I18" s="2" t="s">
        <v>24</v>
      </c>
      <c r="J18" s="2">
        <f>VLOOKUP($F18,'seagrass biomass'!$G:$L,2,FALSE)</f>
        <v>994</v>
      </c>
      <c r="K18" s="2">
        <f>VLOOKUP($F18,'seagrass biomass'!$G:$L,3,FALSE)</f>
        <v>343</v>
      </c>
      <c r="L18" s="2" t="s">
        <v>19</v>
      </c>
    </row>
    <row r="19" spans="1:15" x14ac:dyDescent="0.25">
      <c r="A19" s="1" t="s">
        <v>20</v>
      </c>
      <c r="B19" s="1" t="s">
        <v>72</v>
      </c>
      <c r="C19" s="1" t="s">
        <v>15</v>
      </c>
      <c r="D19" s="1">
        <v>-8.6905264720769217</v>
      </c>
      <c r="E19" s="1">
        <v>40.673643700012917</v>
      </c>
      <c r="F19" s="1">
        <v>2025018</v>
      </c>
      <c r="G19" s="1" t="s">
        <v>73</v>
      </c>
      <c r="H19" s="1" t="s">
        <v>74</v>
      </c>
      <c r="I19" s="2" t="s">
        <v>24</v>
      </c>
      <c r="J19" s="2">
        <f>VLOOKUP($F19,'seagrass biomass'!$G:$L,2,FALSE)</f>
        <v>2523</v>
      </c>
      <c r="K19" s="2">
        <f>VLOOKUP($F19,'seagrass biomass'!$G:$L,3,FALSE)</f>
        <v>1219</v>
      </c>
      <c r="L19" s="2" t="s">
        <v>19</v>
      </c>
    </row>
    <row r="20" spans="1:15" x14ac:dyDescent="0.25">
      <c r="A20" s="1" t="s">
        <v>13</v>
      </c>
      <c r="B20" s="7" t="s">
        <v>75</v>
      </c>
      <c r="C20" s="7" t="s">
        <v>15</v>
      </c>
      <c r="D20" s="7">
        <v>-8.6902085470974679</v>
      </c>
      <c r="E20" s="7">
        <v>40.673719353203907</v>
      </c>
      <c r="F20" s="7">
        <v>2025019</v>
      </c>
      <c r="G20" s="7" t="s">
        <v>76</v>
      </c>
      <c r="H20" s="7" t="s">
        <v>77</v>
      </c>
      <c r="I20" s="8" t="s">
        <v>24</v>
      </c>
      <c r="J20" s="8">
        <f>VLOOKUP($F20,'seagrass biomass'!$G:$L,2,FALSE)</f>
        <v>2695</v>
      </c>
      <c r="K20" s="8">
        <f>VLOOKUP($F20,'seagrass biomass'!$G:$L,3,FALSE)</f>
        <v>1160</v>
      </c>
      <c r="L20" s="8" t="s">
        <v>19</v>
      </c>
      <c r="M20" s="9">
        <v>96</v>
      </c>
      <c r="N20" s="10" t="s">
        <v>78</v>
      </c>
      <c r="O20" s="1" t="s">
        <v>79</v>
      </c>
    </row>
    <row r="21" spans="1:15" x14ac:dyDescent="0.25">
      <c r="A21" s="1" t="s">
        <v>13</v>
      </c>
      <c r="B21" s="1" t="s">
        <v>80</v>
      </c>
      <c r="C21" s="1" t="s">
        <v>15</v>
      </c>
      <c r="D21" s="1">
        <v>-8.6893748201798182</v>
      </c>
      <c r="E21" s="1">
        <v>40.673772632631923</v>
      </c>
      <c r="F21" s="1">
        <v>2025020</v>
      </c>
      <c r="G21" s="1" t="s">
        <v>81</v>
      </c>
      <c r="H21" s="1" t="s">
        <v>82</v>
      </c>
      <c r="I21" s="2" t="s">
        <v>38</v>
      </c>
      <c r="J21" s="2">
        <f>VLOOKUP($F21,'seagrass biomass'!$G:$L,2,FALSE)</f>
        <v>0</v>
      </c>
      <c r="K21" s="2">
        <f>VLOOKUP($F21,'seagrass biomass'!$G:$L,3,FALSE)</f>
        <v>0</v>
      </c>
      <c r="L21" s="2" t="s">
        <v>19</v>
      </c>
      <c r="O21" s="5"/>
    </row>
    <row r="22" spans="1:15" x14ac:dyDescent="0.25">
      <c r="A22" s="1" t="s">
        <v>20</v>
      </c>
      <c r="B22" s="1" t="s">
        <v>83</v>
      </c>
      <c r="C22" s="1" t="s">
        <v>15</v>
      </c>
      <c r="D22" s="1">
        <v>-8.6895451211177956</v>
      </c>
      <c r="E22" s="1">
        <v>40.673856387448993</v>
      </c>
      <c r="F22" s="1">
        <v>2025021</v>
      </c>
      <c r="G22" s="1" t="s">
        <v>84</v>
      </c>
      <c r="H22" s="1" t="s">
        <v>85</v>
      </c>
      <c r="I22" s="2" t="s">
        <v>24</v>
      </c>
      <c r="J22" s="2">
        <f>VLOOKUP($F22,'seagrass biomass'!$G:$L,2,FALSE)</f>
        <v>933</v>
      </c>
      <c r="K22" s="2">
        <f>VLOOKUP($F22,'seagrass biomass'!$G:$L,3,FALSE)</f>
        <v>750</v>
      </c>
      <c r="L22" s="2" t="s">
        <v>19</v>
      </c>
      <c r="M22" s="5"/>
      <c r="N22" s="5"/>
    </row>
    <row r="23" spans="1:15" x14ac:dyDescent="0.25">
      <c r="A23" s="1" t="s">
        <v>20</v>
      </c>
      <c r="B23" s="1" t="s">
        <v>86</v>
      </c>
      <c r="C23" s="1" t="s">
        <v>15</v>
      </c>
      <c r="D23" s="1">
        <v>-8.6896031652733416</v>
      </c>
      <c r="E23" s="1">
        <v>40.674075696751643</v>
      </c>
      <c r="F23" s="1">
        <v>2025022</v>
      </c>
      <c r="G23" s="1" t="s">
        <v>87</v>
      </c>
      <c r="H23" s="1" t="s">
        <v>88</v>
      </c>
      <c r="I23" s="2" t="s">
        <v>18</v>
      </c>
      <c r="J23" s="2">
        <f>VLOOKUP($F23,'seagrass biomass'!$G:$L,2,FALSE)</f>
        <v>85</v>
      </c>
      <c r="K23" s="2">
        <f>VLOOKUP($F23,'seagrass biomass'!$G:$L,3,FALSE)</f>
        <v>719</v>
      </c>
      <c r="L23" s="2" t="s">
        <v>19</v>
      </c>
    </row>
    <row r="24" spans="1:15" x14ac:dyDescent="0.25">
      <c r="A24" s="1" t="s">
        <v>13</v>
      </c>
      <c r="B24" s="7" t="s">
        <v>89</v>
      </c>
      <c r="C24" s="7" t="s">
        <v>15</v>
      </c>
      <c r="D24" s="7">
        <v>-8.6898266729931564</v>
      </c>
      <c r="E24" s="7">
        <v>40.674063382355122</v>
      </c>
      <c r="F24" s="7">
        <v>2025023</v>
      </c>
      <c r="G24" s="7" t="s">
        <v>90</v>
      </c>
      <c r="H24" s="7" t="s">
        <v>91</v>
      </c>
      <c r="I24" s="8" t="s">
        <v>24</v>
      </c>
      <c r="J24" s="8">
        <f>VLOOKUP($F24,'seagrass biomass'!$G:$L,2,FALSE)</f>
        <v>2790</v>
      </c>
      <c r="K24" s="8">
        <f>VLOOKUP($F24,'seagrass biomass'!$G:$L,3,FALSE)</f>
        <v>888</v>
      </c>
      <c r="L24" s="8" t="s">
        <v>19</v>
      </c>
      <c r="M24" s="9">
        <v>100</v>
      </c>
      <c r="N24" s="9" t="s">
        <v>92</v>
      </c>
    </row>
    <row r="25" spans="1:15" x14ac:dyDescent="0.25">
      <c r="A25" s="1" t="s">
        <v>20</v>
      </c>
      <c r="B25" s="7" t="s">
        <v>93</v>
      </c>
      <c r="C25" s="7" t="s">
        <v>15</v>
      </c>
      <c r="D25" s="7">
        <v>-8.6902026127551224</v>
      </c>
      <c r="E25" s="7">
        <v>40.674294749900866</v>
      </c>
      <c r="F25" s="7">
        <v>2025024</v>
      </c>
      <c r="G25" s="7" t="s">
        <v>94</v>
      </c>
      <c r="H25" s="7" t="s">
        <v>95</v>
      </c>
      <c r="I25" s="8" t="s">
        <v>24</v>
      </c>
      <c r="J25" s="8">
        <f>VLOOKUP($F25,'seagrass biomass'!$G:$L,2,FALSE)</f>
        <v>2113</v>
      </c>
      <c r="K25" s="8">
        <f>VLOOKUP($F25,'seagrass biomass'!$G:$L,3,FALSE)</f>
        <v>675</v>
      </c>
      <c r="L25" s="8" t="s">
        <v>19</v>
      </c>
      <c r="M25" s="9">
        <v>100</v>
      </c>
      <c r="N25" s="11" t="s">
        <v>96</v>
      </c>
    </row>
    <row r="26" spans="1:15" x14ac:dyDescent="0.25">
      <c r="A26" s="1" t="s">
        <v>13</v>
      </c>
      <c r="B26" s="7" t="s">
        <v>97</v>
      </c>
      <c r="C26" s="7" t="s">
        <v>15</v>
      </c>
      <c r="D26" s="7">
        <v>-8.6902785297354068</v>
      </c>
      <c r="E26" s="7">
        <v>40.67435413030968</v>
      </c>
      <c r="F26" s="7">
        <v>2025025</v>
      </c>
      <c r="G26" s="7" t="s">
        <v>98</v>
      </c>
      <c r="H26" s="7" t="s">
        <v>99</v>
      </c>
      <c r="I26" s="8" t="s">
        <v>24</v>
      </c>
      <c r="J26" s="8">
        <f>VLOOKUP($F26,'seagrass biomass'!$G:$L,2,FALSE)</f>
        <v>2171</v>
      </c>
      <c r="K26" s="8">
        <f>VLOOKUP($F26,'seagrass biomass'!$G:$L,3,FALSE)</f>
        <v>933</v>
      </c>
      <c r="L26" s="8" t="s">
        <v>19</v>
      </c>
      <c r="M26" s="9">
        <v>100</v>
      </c>
      <c r="N26" s="11" t="s">
        <v>100</v>
      </c>
    </row>
    <row r="27" spans="1:15" x14ac:dyDescent="0.25">
      <c r="A27" s="1" t="s">
        <v>13</v>
      </c>
      <c r="B27" s="7" t="s">
        <v>101</v>
      </c>
      <c r="C27" s="7" t="s">
        <v>15</v>
      </c>
      <c r="D27" s="7">
        <v>-8.689896652347052</v>
      </c>
      <c r="E27" s="7">
        <v>40.674698159642553</v>
      </c>
      <c r="F27" s="7">
        <v>2025026</v>
      </c>
      <c r="G27" s="7" t="s">
        <v>102</v>
      </c>
      <c r="H27" s="7" t="s">
        <v>103</v>
      </c>
      <c r="I27" s="8" t="s">
        <v>38</v>
      </c>
      <c r="J27" s="8">
        <f>VLOOKUP($F27,'seagrass biomass'!$G:$L,2,FALSE)</f>
        <v>0</v>
      </c>
      <c r="K27" s="8">
        <f>VLOOKUP($F27,'seagrass biomass'!$G:$L,3,FALSE)</f>
        <v>0</v>
      </c>
      <c r="L27" s="8" t="s">
        <v>19</v>
      </c>
      <c r="M27" s="7">
        <v>0</v>
      </c>
      <c r="N27" s="7" t="s">
        <v>104</v>
      </c>
      <c r="O27" s="5"/>
    </row>
    <row r="28" spans="1:15" x14ac:dyDescent="0.25">
      <c r="A28" s="1" t="s">
        <v>20</v>
      </c>
      <c r="B28" s="1" t="s">
        <v>105</v>
      </c>
      <c r="C28" s="1" t="s">
        <v>15</v>
      </c>
      <c r="D28" s="1">
        <v>-8.6895364014205079</v>
      </c>
      <c r="E28" s="1">
        <v>40.674447652450773</v>
      </c>
      <c r="F28" s="1">
        <v>2025027</v>
      </c>
      <c r="G28" s="1" t="s">
        <v>106</v>
      </c>
      <c r="H28" s="1" t="s">
        <v>107</v>
      </c>
      <c r="I28" s="2" t="s">
        <v>18</v>
      </c>
      <c r="J28" s="2">
        <f>VLOOKUP($F28,'seagrass biomass'!$G:$L,2,FALSE)</f>
        <v>39</v>
      </c>
      <c r="K28" s="2">
        <f>VLOOKUP($F28,'seagrass biomass'!$G:$L,3,FALSE)</f>
        <v>161</v>
      </c>
      <c r="L28" s="2" t="s">
        <v>19</v>
      </c>
    </row>
    <row r="29" spans="1:15" x14ac:dyDescent="0.25">
      <c r="A29" s="1" t="s">
        <v>13</v>
      </c>
      <c r="B29" s="1" t="s">
        <v>108</v>
      </c>
      <c r="C29" s="1" t="s">
        <v>15</v>
      </c>
      <c r="D29" s="1">
        <v>-8.6894447949599289</v>
      </c>
      <c r="E29" s="1">
        <v>40.674407410208453</v>
      </c>
      <c r="F29" s="1">
        <v>2025028</v>
      </c>
      <c r="G29" s="1" t="s">
        <v>109</v>
      </c>
      <c r="H29" s="1" t="s">
        <v>110</v>
      </c>
      <c r="I29" s="2" t="s">
        <v>24</v>
      </c>
      <c r="J29" s="2">
        <f>VLOOKUP($F29,'seagrass biomass'!$G:$L,2,FALSE)</f>
        <v>2715</v>
      </c>
      <c r="K29" s="2">
        <f>VLOOKUP($F29,'seagrass biomass'!$G:$L,3,FALSE)</f>
        <v>1696</v>
      </c>
      <c r="L29" s="2" t="s">
        <v>19</v>
      </c>
    </row>
    <row r="30" spans="1:15" x14ac:dyDescent="0.25">
      <c r="A30" s="1" t="s">
        <v>20</v>
      </c>
      <c r="B30" s="7" t="s">
        <v>111</v>
      </c>
      <c r="C30" s="7" t="s">
        <v>15</v>
      </c>
      <c r="D30" s="7">
        <v>-8.6891629353997395</v>
      </c>
      <c r="E30" s="7">
        <v>40.674482607871518</v>
      </c>
      <c r="F30" s="7">
        <v>2025029</v>
      </c>
      <c r="G30" s="7" t="s">
        <v>112</v>
      </c>
      <c r="H30" s="7" t="s">
        <v>113</v>
      </c>
      <c r="I30" s="8" t="s">
        <v>24</v>
      </c>
      <c r="J30" s="8">
        <f>VLOOKUP($F30,'seagrass biomass'!$G:$L,2,FALSE)</f>
        <v>1294</v>
      </c>
      <c r="K30" s="8">
        <f>VLOOKUP($F30,'seagrass biomass'!$G:$L,3,FALSE)</f>
        <v>454</v>
      </c>
      <c r="L30" s="8" t="s">
        <v>19</v>
      </c>
      <c r="M30" s="9">
        <v>25</v>
      </c>
      <c r="N30" s="9" t="s">
        <v>114</v>
      </c>
    </row>
    <row r="31" spans="1:15" x14ac:dyDescent="0.25">
      <c r="A31" s="1" t="s">
        <v>13</v>
      </c>
      <c r="B31" s="7" t="s">
        <v>115</v>
      </c>
      <c r="C31" s="7" t="s">
        <v>15</v>
      </c>
      <c r="D31" s="7">
        <v>-8.6889929415017981</v>
      </c>
      <c r="E31" s="7">
        <v>40.674116659005691</v>
      </c>
      <c r="F31" s="7">
        <v>2025030</v>
      </c>
      <c r="G31" s="7" t="s">
        <v>116</v>
      </c>
      <c r="H31" s="7" t="s">
        <v>117</v>
      </c>
      <c r="I31" s="8" t="s">
        <v>38</v>
      </c>
      <c r="J31" s="8">
        <f>VLOOKUP($F31,'seagrass biomass'!$G:$L,2,FALSE)</f>
        <v>228</v>
      </c>
      <c r="K31" s="8">
        <f>VLOOKUP($F31,'seagrass biomass'!$G:$L,3,FALSE)</f>
        <v>191</v>
      </c>
      <c r="L31" s="8" t="s">
        <v>19</v>
      </c>
      <c r="M31" s="7">
        <v>50</v>
      </c>
      <c r="N31" s="7" t="s">
        <v>118</v>
      </c>
    </row>
    <row r="32" spans="1:15" x14ac:dyDescent="0.25">
      <c r="A32" s="1" t="s">
        <v>20</v>
      </c>
      <c r="B32" s="1" t="s">
        <v>119</v>
      </c>
      <c r="C32" s="1" t="s">
        <v>15</v>
      </c>
      <c r="D32" s="1">
        <v>-8.6890768694457581</v>
      </c>
      <c r="E32" s="1">
        <v>40.673987862444093</v>
      </c>
      <c r="F32" s="1">
        <v>2025031</v>
      </c>
      <c r="G32" s="1" t="s">
        <v>120</v>
      </c>
      <c r="H32" s="1" t="s">
        <v>121</v>
      </c>
      <c r="I32" s="2" t="s">
        <v>38</v>
      </c>
      <c r="J32" s="2">
        <f>VLOOKUP($F32,'seagrass biomass'!$G:$L,2,FALSE)</f>
        <v>0</v>
      </c>
      <c r="K32" s="2">
        <f>VLOOKUP($F32,'seagrass biomass'!$G:$L,3,FALSE)</f>
        <v>0</v>
      </c>
      <c r="L32" s="2" t="s">
        <v>19</v>
      </c>
    </row>
    <row r="33" spans="1:14" x14ac:dyDescent="0.25">
      <c r="A33" s="1" t="s">
        <v>20</v>
      </c>
      <c r="B33" s="1" t="s">
        <v>122</v>
      </c>
      <c r="C33" s="1" t="s">
        <v>15</v>
      </c>
      <c r="D33" s="1">
        <v>-8.6882516523330438</v>
      </c>
      <c r="E33" s="1">
        <v>40.67410705843696</v>
      </c>
      <c r="F33" s="1">
        <v>2025032</v>
      </c>
      <c r="G33" s="1" t="s">
        <v>123</v>
      </c>
      <c r="H33" s="1" t="s">
        <v>124</v>
      </c>
      <c r="I33" s="2" t="s">
        <v>38</v>
      </c>
      <c r="J33" s="2">
        <f>VLOOKUP($F33,'seagrass biomass'!$G:$L,2,FALSE)</f>
        <v>0</v>
      </c>
      <c r="K33" s="2">
        <f>VLOOKUP($F33,'seagrass biomass'!$G:$L,3,FALSE)</f>
        <v>0</v>
      </c>
      <c r="L33" s="2" t="s">
        <v>19</v>
      </c>
    </row>
    <row r="34" spans="1:14" x14ac:dyDescent="0.25">
      <c r="A34" s="1" t="s">
        <v>13</v>
      </c>
      <c r="B34" s="1" t="s">
        <v>125</v>
      </c>
      <c r="C34" s="1" t="s">
        <v>15</v>
      </c>
      <c r="D34" s="1">
        <v>-8.6881592087209789</v>
      </c>
      <c r="E34" s="1">
        <v>40.674169929630608</v>
      </c>
      <c r="F34" s="1">
        <v>2025033</v>
      </c>
      <c r="G34" s="1" t="s">
        <v>126</v>
      </c>
      <c r="H34" s="1" t="s">
        <v>127</v>
      </c>
      <c r="I34" s="2" t="s">
        <v>38</v>
      </c>
      <c r="J34" s="2">
        <f>VLOOKUP($F34,'seagrass biomass'!$G:$L,2,FALSE)</f>
        <v>0</v>
      </c>
      <c r="K34" s="2">
        <f>VLOOKUP($F34,'seagrass biomass'!$G:$L,3,FALSE)</f>
        <v>0</v>
      </c>
      <c r="L34" s="2" t="s">
        <v>19</v>
      </c>
    </row>
    <row r="35" spans="1:14" x14ac:dyDescent="0.25">
      <c r="A35" s="1" t="s">
        <v>13</v>
      </c>
      <c r="B35" s="7" t="s">
        <v>128</v>
      </c>
      <c r="C35" s="7" t="s">
        <v>15</v>
      </c>
      <c r="D35" s="7">
        <v>-8.6886110588948338</v>
      </c>
      <c r="E35" s="7">
        <v>40.674460684081517</v>
      </c>
      <c r="F35" s="7">
        <v>2025034</v>
      </c>
      <c r="G35" s="7" t="s">
        <v>129</v>
      </c>
      <c r="H35" s="7" t="s">
        <v>130</v>
      </c>
      <c r="I35" s="8" t="s">
        <v>38</v>
      </c>
      <c r="J35" s="8">
        <f>VLOOKUP($F35,'seagrass biomass'!$G:$L,2,FALSE)</f>
        <v>0</v>
      </c>
      <c r="K35" s="8">
        <f>VLOOKUP($F35,'seagrass biomass'!$G:$L,3,FALSE)</f>
        <v>0</v>
      </c>
      <c r="L35" s="8" t="s">
        <v>19</v>
      </c>
      <c r="M35" s="7">
        <v>0</v>
      </c>
      <c r="N35" s="7" t="s">
        <v>131</v>
      </c>
    </row>
    <row r="36" spans="1:14" x14ac:dyDescent="0.25">
      <c r="A36" s="1" t="s">
        <v>20</v>
      </c>
      <c r="B36" s="7" t="s">
        <v>132</v>
      </c>
      <c r="C36" s="7" t="s">
        <v>15</v>
      </c>
      <c r="D36" s="7">
        <v>-8.6887206476385881</v>
      </c>
      <c r="E36" s="7">
        <v>40.674762013477391</v>
      </c>
      <c r="F36" s="7">
        <v>2025035</v>
      </c>
      <c r="G36" s="7" t="s">
        <v>133</v>
      </c>
      <c r="H36" s="7" t="s">
        <v>134</v>
      </c>
      <c r="I36" s="8" t="s">
        <v>24</v>
      </c>
      <c r="J36" s="8">
        <f>VLOOKUP($F36,'seagrass biomass'!$G:$L,2,FALSE)</f>
        <v>206.02</v>
      </c>
      <c r="K36" s="8">
        <f>VLOOKUP($F36,'seagrass biomass'!$G:$L,3,FALSE)</f>
        <v>212.4</v>
      </c>
      <c r="L36" s="8" t="s">
        <v>19</v>
      </c>
      <c r="M36" s="9">
        <v>40</v>
      </c>
      <c r="N36" s="9" t="s">
        <v>135</v>
      </c>
    </row>
    <row r="37" spans="1:14" x14ac:dyDescent="0.25">
      <c r="A37" s="1" t="s">
        <v>13</v>
      </c>
      <c r="B37" s="7" t="s">
        <v>136</v>
      </c>
      <c r="C37" s="7" t="s">
        <v>15</v>
      </c>
      <c r="D37" s="7">
        <v>-8.6886810271064263</v>
      </c>
      <c r="E37" s="7">
        <v>40.675095462021233</v>
      </c>
      <c r="F37" s="7">
        <v>2025036</v>
      </c>
      <c r="G37" s="7" t="s">
        <v>137</v>
      </c>
      <c r="H37" s="7" t="s">
        <v>138</v>
      </c>
      <c r="I37" s="8" t="s">
        <v>24</v>
      </c>
      <c r="J37" s="8">
        <f>VLOOKUP($F37,'seagrass biomass'!$G:$L,2,FALSE)</f>
        <v>645</v>
      </c>
      <c r="K37" s="8">
        <f>VLOOKUP($F37,'seagrass biomass'!$G:$L,3,FALSE)</f>
        <v>607</v>
      </c>
      <c r="L37" s="8" t="s">
        <v>19</v>
      </c>
      <c r="M37" s="7">
        <v>50</v>
      </c>
      <c r="N37" s="7" t="s">
        <v>139</v>
      </c>
    </row>
    <row r="38" spans="1:14" x14ac:dyDescent="0.25">
      <c r="A38" s="1" t="s">
        <v>13</v>
      </c>
      <c r="B38" s="1" t="s">
        <v>140</v>
      </c>
      <c r="C38" s="1" t="s">
        <v>15</v>
      </c>
      <c r="D38" s="1">
        <v>-8.6890629129977128</v>
      </c>
      <c r="E38" s="1">
        <v>40.674751436763827</v>
      </c>
      <c r="F38" s="1">
        <v>2025037</v>
      </c>
      <c r="G38" s="1" t="s">
        <v>141</v>
      </c>
      <c r="H38" s="1" t="s">
        <v>142</v>
      </c>
      <c r="I38" s="2" t="s">
        <v>24</v>
      </c>
      <c r="J38" s="2">
        <f>VLOOKUP($F38,'seagrass biomass'!$G:$L,2,FALSE)</f>
        <v>1871</v>
      </c>
      <c r="K38" s="2">
        <f>VLOOKUP($F38,'seagrass biomass'!$G:$L,3,FALSE)</f>
        <v>1585</v>
      </c>
      <c r="L38" s="2" t="s">
        <v>19</v>
      </c>
      <c r="M38" s="5"/>
      <c r="N38" s="5"/>
    </row>
    <row r="39" spans="1:14" x14ac:dyDescent="0.25">
      <c r="A39" s="1" t="s">
        <v>20</v>
      </c>
      <c r="B39" s="1" t="s">
        <v>143</v>
      </c>
      <c r="C39" s="1" t="s">
        <v>15</v>
      </c>
      <c r="D39" s="1">
        <v>-8.6893754607058007</v>
      </c>
      <c r="E39" s="1">
        <v>40.674801617968328</v>
      </c>
      <c r="F39" s="1">
        <v>2025038</v>
      </c>
      <c r="G39" s="1" t="s">
        <v>144</v>
      </c>
      <c r="H39" s="1" t="s">
        <v>145</v>
      </c>
      <c r="I39" s="2" t="s">
        <v>24</v>
      </c>
      <c r="J39" s="2">
        <f>VLOOKUP($F39,'seagrass biomass'!$G:$L,2,FALSE)</f>
        <v>1642</v>
      </c>
      <c r="K39" s="2">
        <f>VLOOKUP($F39,'seagrass biomass'!$G:$L,3,FALSE)</f>
        <v>1381</v>
      </c>
      <c r="L39" s="2" t="s">
        <v>19</v>
      </c>
    </row>
    <row r="40" spans="1:14" x14ac:dyDescent="0.25">
      <c r="A40" s="1" t="s">
        <v>13</v>
      </c>
      <c r="B40" s="7" t="s">
        <v>146</v>
      </c>
      <c r="C40" s="7" t="s">
        <v>15</v>
      </c>
      <c r="D40" s="7">
        <v>-8.6895147710296587</v>
      </c>
      <c r="E40" s="7">
        <v>40.675042187677512</v>
      </c>
      <c r="F40" s="7">
        <v>2025039</v>
      </c>
      <c r="G40" s="7" t="s">
        <v>73</v>
      </c>
      <c r="H40" s="7" t="s">
        <v>147</v>
      </c>
      <c r="I40" s="8" t="s">
        <v>38</v>
      </c>
      <c r="J40" s="8">
        <f>VLOOKUP($F40,'seagrass biomass'!$G:$L,2,FALSE)</f>
        <v>0</v>
      </c>
      <c r="K40" s="8">
        <f>VLOOKUP($F40,'seagrass biomass'!$G:$L,3,FALSE)</f>
        <v>0</v>
      </c>
      <c r="L40" s="8" t="s">
        <v>19</v>
      </c>
      <c r="M40" s="9">
        <v>0</v>
      </c>
      <c r="N40" s="9" t="s">
        <v>148</v>
      </c>
    </row>
    <row r="41" spans="1:14" x14ac:dyDescent="0.25">
      <c r="A41" s="1" t="s">
        <v>13</v>
      </c>
      <c r="B41" s="7" t="s">
        <v>149</v>
      </c>
      <c r="C41" s="7" t="s">
        <v>15</v>
      </c>
      <c r="D41" s="7">
        <v>-8.6891328857831507</v>
      </c>
      <c r="E41" s="7">
        <v>40.675386214414502</v>
      </c>
      <c r="F41" s="7">
        <v>2025040</v>
      </c>
      <c r="G41" s="7" t="s">
        <v>150</v>
      </c>
      <c r="H41" s="7" t="s">
        <v>151</v>
      </c>
      <c r="I41" s="8" t="s">
        <v>38</v>
      </c>
      <c r="J41" s="8">
        <f>VLOOKUP($F41,'seagrass biomass'!$G:$L,2,FALSE)</f>
        <v>0</v>
      </c>
      <c r="K41" s="8">
        <f>VLOOKUP($F41,'seagrass biomass'!$G:$L,3,FALSE)</f>
        <v>0</v>
      </c>
      <c r="L41" s="8" t="s">
        <v>19</v>
      </c>
      <c r="M41" s="9">
        <v>0</v>
      </c>
      <c r="N41" s="9" t="s">
        <v>152</v>
      </c>
    </row>
    <row r="42" spans="1:14" x14ac:dyDescent="0.25">
      <c r="A42" s="1" t="s">
        <v>20</v>
      </c>
      <c r="B42" s="1" t="s">
        <v>153</v>
      </c>
      <c r="C42" s="1" t="s">
        <v>15</v>
      </c>
      <c r="D42" s="1">
        <v>-8.6889636849382548</v>
      </c>
      <c r="E42" s="1">
        <v>40.674983305780607</v>
      </c>
      <c r="F42" s="1">
        <v>2025081</v>
      </c>
      <c r="G42" s="1" t="s">
        <v>154</v>
      </c>
      <c r="H42" s="1" t="s">
        <v>155</v>
      </c>
      <c r="I42" s="2" t="s">
        <v>24</v>
      </c>
      <c r="J42" s="2">
        <f>VLOOKUP($F42,'seagrass biomass'!$G:$L,2,FALSE)</f>
        <v>2745</v>
      </c>
      <c r="K42" s="2">
        <f>VLOOKUP($F42,'seagrass biomass'!$G:$L,3,FALSE)</f>
        <v>1244</v>
      </c>
      <c r="L42" s="2" t="s">
        <v>19</v>
      </c>
    </row>
    <row r="43" spans="1:14" x14ac:dyDescent="0.25">
      <c r="A43" s="1" t="s">
        <v>13</v>
      </c>
      <c r="B43" s="1" t="s">
        <v>156</v>
      </c>
      <c r="C43" s="1" t="s">
        <v>15</v>
      </c>
      <c r="D43" s="1">
        <v>-8.6882291723588452</v>
      </c>
      <c r="E43" s="1">
        <v>40.67480470785933</v>
      </c>
      <c r="F43" s="1">
        <v>2025082</v>
      </c>
      <c r="G43" s="1" t="s">
        <v>157</v>
      </c>
      <c r="H43" s="1" t="s">
        <v>158</v>
      </c>
      <c r="I43" s="2" t="s">
        <v>24</v>
      </c>
      <c r="J43" s="2">
        <f>VLOOKUP($F43,'seagrass biomass'!$G:$L,2,FALSE)</f>
        <v>400</v>
      </c>
      <c r="K43" s="2">
        <f>VLOOKUP($F43,'seagrass biomass'!$G:$L,3,FALSE)</f>
        <v>338</v>
      </c>
      <c r="L43" s="2" t="s">
        <v>19</v>
      </c>
    </row>
    <row r="44" spans="1:14" x14ac:dyDescent="0.25">
      <c r="A44" s="1" t="s">
        <v>13</v>
      </c>
      <c r="B44" s="1" t="s">
        <v>159</v>
      </c>
      <c r="C44" s="1" t="s">
        <v>160</v>
      </c>
      <c r="D44" s="1">
        <v>-8.6786166131566684</v>
      </c>
      <c r="E44" s="1">
        <v>40.693744548667389</v>
      </c>
      <c r="F44" s="1">
        <v>2025083</v>
      </c>
      <c r="G44" s="1" t="s">
        <v>161</v>
      </c>
      <c r="H44" s="1" t="s">
        <v>162</v>
      </c>
      <c r="I44" s="2" t="s">
        <v>24</v>
      </c>
      <c r="J44" s="2">
        <f>VLOOKUP($F44,'seagrass biomass'!$G:$L,2,FALSE)</f>
        <v>717</v>
      </c>
      <c r="K44" s="2">
        <f>VLOOKUP($F44,'seagrass biomass'!$G:$L,3,FALSE)</f>
        <v>835</v>
      </c>
      <c r="L44" s="2" t="str">
        <f>VLOOKUP($F44,'seagrass biomass'!C:F,4,FALSE)</f>
        <v>NIOZ lab</v>
      </c>
      <c r="M44" s="5"/>
      <c r="N44" s="5"/>
    </row>
    <row r="45" spans="1:14" x14ac:dyDescent="0.25">
      <c r="A45" s="1" t="s">
        <v>20</v>
      </c>
      <c r="B45" s="1" t="s">
        <v>163</v>
      </c>
      <c r="C45" s="1" t="s">
        <v>160</v>
      </c>
      <c r="D45" s="1">
        <v>-8.6785834445911245</v>
      </c>
      <c r="E45" s="1">
        <v>40.693312999004867</v>
      </c>
      <c r="F45" s="1">
        <v>2025084</v>
      </c>
      <c r="G45" s="1" t="s">
        <v>164</v>
      </c>
      <c r="H45" s="1" t="s">
        <v>165</v>
      </c>
      <c r="I45" s="2" t="s">
        <v>24</v>
      </c>
      <c r="J45" s="2">
        <f>VLOOKUP($F45,'seagrass biomass'!$G:$L,2,FALSE)</f>
        <v>1514</v>
      </c>
      <c r="K45" s="2">
        <f>VLOOKUP($F45,'seagrass biomass'!$G:$L,3,FALSE)</f>
        <v>556</v>
      </c>
      <c r="L45" s="2" t="s">
        <v>19</v>
      </c>
    </row>
    <row r="46" spans="1:14" x14ac:dyDescent="0.25">
      <c r="A46" s="1" t="s">
        <v>13</v>
      </c>
      <c r="B46" s="1" t="s">
        <v>166</v>
      </c>
      <c r="C46" s="1" t="s">
        <v>160</v>
      </c>
      <c r="D46" s="1">
        <v>-8.6788210461547095</v>
      </c>
      <c r="E46" s="1">
        <v>40.693321847234543</v>
      </c>
      <c r="F46" s="1">
        <v>2025085</v>
      </c>
      <c r="G46" s="1" t="s">
        <v>167</v>
      </c>
      <c r="H46" s="1" t="s">
        <v>168</v>
      </c>
      <c r="I46" s="2" t="s">
        <v>24</v>
      </c>
      <c r="J46" s="2">
        <f>VLOOKUP($F46,'seagrass biomass'!$G:$L,2,FALSE)</f>
        <v>2566</v>
      </c>
      <c r="K46" s="2">
        <f>VLOOKUP($F46,'seagrass biomass'!$G:$L,3,FALSE)</f>
        <v>1512</v>
      </c>
      <c r="L46" s="2" t="s">
        <v>19</v>
      </c>
    </row>
    <row r="47" spans="1:14" x14ac:dyDescent="0.25">
      <c r="A47" s="1" t="s">
        <v>13</v>
      </c>
      <c r="B47" s="1" t="s">
        <v>169</v>
      </c>
      <c r="C47" s="1" t="s">
        <v>160</v>
      </c>
      <c r="D47" s="1">
        <v>-8.679025476553754</v>
      </c>
      <c r="E47" s="1">
        <v>40.69289914539894</v>
      </c>
      <c r="F47" s="1">
        <v>2025086</v>
      </c>
      <c r="G47" s="1" t="s">
        <v>170</v>
      </c>
      <c r="H47" s="1" t="s">
        <v>171</v>
      </c>
      <c r="I47" s="2" t="s">
        <v>24</v>
      </c>
      <c r="J47" s="2">
        <f>VLOOKUP($F47,'seagrass biomass'!$G:$L,2,FALSE)</f>
        <v>3538</v>
      </c>
      <c r="K47" s="2">
        <f>VLOOKUP($F47,'seagrass biomass'!$G:$L,3,FALSE)</f>
        <v>2263</v>
      </c>
      <c r="L47" s="2" t="s">
        <v>19</v>
      </c>
      <c r="M47" s="5"/>
      <c r="N47" s="5"/>
    </row>
    <row r="48" spans="1:14" x14ac:dyDescent="0.25">
      <c r="A48" s="1" t="s">
        <v>20</v>
      </c>
      <c r="B48" s="1" t="s">
        <v>172</v>
      </c>
      <c r="C48" s="1" t="s">
        <v>160</v>
      </c>
      <c r="D48" s="1">
        <v>-8.678762481709402</v>
      </c>
      <c r="E48" s="1">
        <v>40.692555607082951</v>
      </c>
      <c r="F48" s="1">
        <v>2025087</v>
      </c>
      <c r="G48" s="1" t="s">
        <v>173</v>
      </c>
      <c r="H48" s="1" t="s">
        <v>174</v>
      </c>
      <c r="I48" s="2" t="s">
        <v>24</v>
      </c>
      <c r="J48" s="2">
        <f>VLOOKUP($F48,'seagrass biomass'!$G:$L,2,FALSE)</f>
        <v>1780</v>
      </c>
      <c r="K48" s="2">
        <f>VLOOKUP($F48,'seagrass biomass'!$G:$L,3,FALSE)</f>
        <v>1728</v>
      </c>
      <c r="L48" s="2" t="s">
        <v>19</v>
      </c>
    </row>
    <row r="49" spans="1:15" x14ac:dyDescent="0.25">
      <c r="A49" s="1" t="s">
        <v>20</v>
      </c>
      <c r="B49" s="1" t="s">
        <v>175</v>
      </c>
      <c r="C49" s="1" t="s">
        <v>160</v>
      </c>
      <c r="D49" s="1">
        <v>-8.6793081877929463</v>
      </c>
      <c r="E49" s="1">
        <v>40.692930260988938</v>
      </c>
      <c r="F49" s="1">
        <v>2025088</v>
      </c>
      <c r="G49" s="1">
        <v>2025166</v>
      </c>
      <c r="H49" s="1" t="s">
        <v>176</v>
      </c>
      <c r="I49" s="2" t="s">
        <v>24</v>
      </c>
      <c r="J49" s="2">
        <f>VLOOKUP($F49,'seagrass biomass'!$G:$L,2,FALSE)</f>
        <v>3113</v>
      </c>
      <c r="K49" s="2">
        <f>VLOOKUP($F49,'seagrass biomass'!$G:$L,3,FALSE)</f>
        <v>899</v>
      </c>
      <c r="L49" s="2" t="s">
        <v>19</v>
      </c>
    </row>
    <row r="50" spans="1:15" x14ac:dyDescent="0.25">
      <c r="A50" s="1" t="s">
        <v>13</v>
      </c>
      <c r="B50" s="1" t="s">
        <v>177</v>
      </c>
      <c r="C50" s="1" t="s">
        <v>160</v>
      </c>
      <c r="D50" s="1">
        <v>-8.6797852471313988</v>
      </c>
      <c r="E50" s="1">
        <v>40.692632042631871</v>
      </c>
      <c r="F50" s="1">
        <v>2025089</v>
      </c>
      <c r="G50" s="1">
        <v>2025172</v>
      </c>
      <c r="H50" s="1" t="s">
        <v>178</v>
      </c>
      <c r="I50" s="2" t="s">
        <v>24</v>
      </c>
      <c r="J50" s="2">
        <f>VLOOKUP($F50,'seagrass biomass'!$G:$L,2,FALSE)</f>
        <v>857</v>
      </c>
      <c r="K50" s="2">
        <f>VLOOKUP($F50,'seagrass biomass'!$G:$L,3,FALSE)</f>
        <v>705</v>
      </c>
      <c r="L50" s="2" t="s">
        <v>19</v>
      </c>
      <c r="O50" s="5" t="s">
        <v>179</v>
      </c>
    </row>
    <row r="51" spans="1:15" x14ac:dyDescent="0.25">
      <c r="A51" s="1" t="s">
        <v>13</v>
      </c>
      <c r="B51" s="1" t="s">
        <v>180</v>
      </c>
      <c r="C51" s="1" t="s">
        <v>160</v>
      </c>
      <c r="D51" s="1">
        <v>-8.6803405925077062</v>
      </c>
      <c r="E51" s="1">
        <v>40.69278763943732</v>
      </c>
      <c r="F51" s="1">
        <v>2025090</v>
      </c>
      <c r="G51" s="1">
        <v>2025164</v>
      </c>
      <c r="H51" s="1" t="s">
        <v>181</v>
      </c>
      <c r="I51" s="2" t="s">
        <v>24</v>
      </c>
      <c r="J51" s="2">
        <f>VLOOKUP($F51,'seagrass biomass'!$G:$L,2,FALSE)</f>
        <v>1103</v>
      </c>
      <c r="K51" s="2">
        <f>VLOOKUP($F51,'seagrass biomass'!$G:$L,3,FALSE)</f>
        <v>813</v>
      </c>
      <c r="L51" s="2" t="str">
        <f>VLOOKUP($F51,'seagrass biomass'!C:F,4,FALSE)</f>
        <v>NIOZ lab</v>
      </c>
    </row>
    <row r="52" spans="1:15" x14ac:dyDescent="0.25">
      <c r="A52" s="1" t="s">
        <v>20</v>
      </c>
      <c r="B52" s="1" t="s">
        <v>182</v>
      </c>
      <c r="C52" s="1" t="s">
        <v>160</v>
      </c>
      <c r="D52" s="1">
        <v>-8.6796997745988449</v>
      </c>
      <c r="E52" s="1">
        <v>40.692913910460902</v>
      </c>
      <c r="F52" s="1">
        <v>2025091</v>
      </c>
      <c r="G52" s="1">
        <v>2025163</v>
      </c>
      <c r="H52" s="1" t="s">
        <v>183</v>
      </c>
      <c r="I52" s="2" t="s">
        <v>24</v>
      </c>
      <c r="J52" s="2">
        <f>VLOOKUP($F52,'seagrass biomass'!$G:$L,2,FALSE)</f>
        <v>1230</v>
      </c>
      <c r="K52" s="2">
        <f>VLOOKUP($F52,'seagrass biomass'!$G:$L,3,FALSE)</f>
        <v>990</v>
      </c>
      <c r="L52" s="2" t="s">
        <v>19</v>
      </c>
    </row>
    <row r="53" spans="1:15" x14ac:dyDescent="0.25">
      <c r="A53" s="1" t="s">
        <v>13</v>
      </c>
      <c r="B53" s="1" t="s">
        <v>184</v>
      </c>
      <c r="C53" s="1" t="s">
        <v>160</v>
      </c>
      <c r="D53" s="1">
        <v>-8.6795808223525217</v>
      </c>
      <c r="E53" s="1">
        <v>40.693054745853587</v>
      </c>
      <c r="F53" s="1">
        <v>2025092</v>
      </c>
      <c r="G53" s="1">
        <v>2025168</v>
      </c>
      <c r="H53" s="1" t="s">
        <v>185</v>
      </c>
      <c r="I53" s="2" t="s">
        <v>24</v>
      </c>
      <c r="J53" s="2">
        <f>VLOOKUP($F53,'seagrass biomass'!$G:$L,2,FALSE)</f>
        <v>992</v>
      </c>
      <c r="K53" s="2">
        <f>VLOOKUP($F53,'seagrass biomass'!$G:$L,3,FALSE)</f>
        <v>377</v>
      </c>
      <c r="L53" s="2" t="s">
        <v>19</v>
      </c>
    </row>
    <row r="54" spans="1:15" x14ac:dyDescent="0.25">
      <c r="A54" s="1" t="s">
        <v>20</v>
      </c>
      <c r="B54" s="1" t="s">
        <v>186</v>
      </c>
      <c r="C54" s="1" t="s">
        <v>160</v>
      </c>
      <c r="D54" s="1">
        <v>-8.6795723971338887</v>
      </c>
      <c r="E54" s="1">
        <v>40.693250555174693</v>
      </c>
      <c r="F54" s="1">
        <v>2025093</v>
      </c>
      <c r="G54" s="1">
        <v>2025184</v>
      </c>
      <c r="H54" s="1" t="s">
        <v>187</v>
      </c>
      <c r="I54" s="2" t="s">
        <v>24</v>
      </c>
      <c r="J54" s="2">
        <f>VLOOKUP($F54,'seagrass biomass'!$G:$L,2,FALSE)</f>
        <v>1076</v>
      </c>
      <c r="K54" s="2">
        <f>VLOOKUP($F54,'seagrass biomass'!$G:$L,3,FALSE)</f>
        <v>803</v>
      </c>
      <c r="L54" s="2" t="s">
        <v>19</v>
      </c>
    </row>
    <row r="55" spans="1:15" x14ac:dyDescent="0.25">
      <c r="A55" s="1" t="s">
        <v>13</v>
      </c>
      <c r="B55" s="1" t="s">
        <v>188</v>
      </c>
      <c r="C55" s="1" t="s">
        <v>160</v>
      </c>
      <c r="D55" s="1">
        <v>-8.679376394974776</v>
      </c>
      <c r="E55" s="1">
        <v>40.693477448672589</v>
      </c>
      <c r="F55" s="1">
        <v>2025111</v>
      </c>
      <c r="G55" s="1">
        <v>2025177</v>
      </c>
      <c r="H55" s="1" t="s">
        <v>189</v>
      </c>
      <c r="I55" s="2" t="s">
        <v>24</v>
      </c>
      <c r="J55" s="2">
        <f>VLOOKUP($F55,'seagrass biomass'!$G:$L,2,FALSE)</f>
        <v>1483</v>
      </c>
      <c r="K55" s="2">
        <f>VLOOKUP($F55,'seagrass biomass'!$G:$L,3,FALSE)</f>
        <v>770</v>
      </c>
      <c r="L55" s="2" t="str">
        <f>VLOOKUP($F55,'seagrass biomass'!C:F,4,FALSE)</f>
        <v>NIOZ lab</v>
      </c>
    </row>
    <row r="56" spans="1:15" x14ac:dyDescent="0.25">
      <c r="A56" s="1" t="s">
        <v>20</v>
      </c>
      <c r="B56" s="1" t="s">
        <v>190</v>
      </c>
      <c r="C56" s="1" t="s">
        <v>160</v>
      </c>
      <c r="D56" s="1">
        <v>-8.679500151571709</v>
      </c>
      <c r="E56" s="1">
        <v>40.693606812728127</v>
      </c>
      <c r="F56" s="1">
        <v>2025112</v>
      </c>
      <c r="G56" s="1">
        <v>2025169</v>
      </c>
      <c r="H56" s="1" t="s">
        <v>191</v>
      </c>
      <c r="I56" s="2" t="s">
        <v>24</v>
      </c>
      <c r="J56" s="2">
        <f>VLOOKUP($F56,'seagrass biomass'!$G:$L,2,FALSE)</f>
        <v>718</v>
      </c>
      <c r="K56" s="2">
        <f>VLOOKUP($F56,'seagrass biomass'!$G:$L,3,FALSE)</f>
        <v>512</v>
      </c>
      <c r="L56" s="2" t="str">
        <f>VLOOKUP($F56,'seagrass biomass'!C:F,4,FALSE)</f>
        <v>NIOZ lab</v>
      </c>
    </row>
    <row r="57" spans="1:15" x14ac:dyDescent="0.25">
      <c r="A57" s="1" t="s">
        <v>13</v>
      </c>
      <c r="B57" s="1" t="s">
        <v>192</v>
      </c>
      <c r="C57" s="1" t="s">
        <v>160</v>
      </c>
      <c r="D57" s="1">
        <v>-8.6791719649980745</v>
      </c>
      <c r="E57" s="1">
        <v>40.69390015108884</v>
      </c>
      <c r="F57" s="1">
        <v>2025113</v>
      </c>
      <c r="G57" s="1">
        <v>2025178</v>
      </c>
      <c r="H57" s="1" t="s">
        <v>193</v>
      </c>
      <c r="I57" s="2" t="s">
        <v>24</v>
      </c>
      <c r="J57" s="2">
        <f>VLOOKUP($F57,'seagrass biomass'!$G:$L,2,FALSE)</f>
        <v>1876</v>
      </c>
      <c r="K57" s="2">
        <f>VLOOKUP($F57,'seagrass biomass'!$G:$L,3,FALSE)</f>
        <v>608</v>
      </c>
      <c r="L57" s="2" t="s">
        <v>19</v>
      </c>
      <c r="M57" s="5"/>
      <c r="N57" s="5"/>
    </row>
    <row r="58" spans="1:15" x14ac:dyDescent="0.25">
      <c r="A58" s="1" t="s">
        <v>13</v>
      </c>
      <c r="B58" s="12" t="s">
        <v>194</v>
      </c>
      <c r="C58" s="12" t="s">
        <v>160</v>
      </c>
      <c r="D58" s="12">
        <v>-8.6780612639143353</v>
      </c>
      <c r="E58" s="12">
        <v>40.693588943580032</v>
      </c>
      <c r="F58" s="12">
        <v>2025114</v>
      </c>
      <c r="G58" s="12">
        <v>2025179</v>
      </c>
      <c r="H58" s="12" t="s">
        <v>195</v>
      </c>
      <c r="I58" s="13" t="s">
        <v>38</v>
      </c>
      <c r="J58" s="13">
        <f>VLOOKUP($F58,'seagrass biomass'!$G:$L,2,FALSE)</f>
        <v>0</v>
      </c>
      <c r="K58" s="13">
        <f>VLOOKUP($F58,'seagrass biomass'!$G:$L,3,FALSE)</f>
        <v>0</v>
      </c>
      <c r="L58" s="13" t="s">
        <v>19</v>
      </c>
      <c r="M58" s="12">
        <v>0</v>
      </c>
      <c r="N58" s="12" t="s">
        <v>196</v>
      </c>
      <c r="O58" s="1" t="s">
        <v>197</v>
      </c>
    </row>
    <row r="59" spans="1:15" x14ac:dyDescent="0.25">
      <c r="A59" s="1" t="s">
        <v>13</v>
      </c>
      <c r="B59" s="1" t="s">
        <v>198</v>
      </c>
      <c r="C59" s="1" t="s">
        <v>160</v>
      </c>
      <c r="D59" s="1">
        <v>-8.6797273194385109</v>
      </c>
      <c r="E59" s="1">
        <v>40.694055750844413</v>
      </c>
      <c r="F59" s="1">
        <v>2025115</v>
      </c>
      <c r="G59" s="1" t="s">
        <v>199</v>
      </c>
      <c r="H59" s="1" t="s">
        <v>200</v>
      </c>
      <c r="I59" s="2" t="s">
        <v>24</v>
      </c>
      <c r="J59" s="2">
        <f>VLOOKUP($F59,'seagrass biomass'!$G:$L,2,FALSE)</f>
        <v>3975.8</v>
      </c>
      <c r="K59" s="2">
        <f>VLOOKUP($F59,'seagrass biomass'!$G:$L,3,FALSE)</f>
        <v>2080</v>
      </c>
      <c r="L59" s="2" t="s">
        <v>19</v>
      </c>
    </row>
    <row r="60" spans="1:15" x14ac:dyDescent="0.25">
      <c r="A60" s="1" t="s">
        <v>13</v>
      </c>
      <c r="B60" s="1" t="s">
        <v>201</v>
      </c>
      <c r="C60" s="1" t="s">
        <v>160</v>
      </c>
      <c r="D60" s="1">
        <v>-8.6799317463937893</v>
      </c>
      <c r="E60" s="1">
        <v>40.693633047444727</v>
      </c>
      <c r="F60" s="1">
        <v>2025116</v>
      </c>
      <c r="G60" s="1" t="s">
        <v>202</v>
      </c>
      <c r="H60" s="1" t="s">
        <v>203</v>
      </c>
      <c r="I60" s="2" t="s">
        <v>24</v>
      </c>
      <c r="J60" s="2">
        <f>VLOOKUP($F60,'seagrass biomass'!$G:$L,2,FALSE)</f>
        <v>3531</v>
      </c>
      <c r="K60" s="2">
        <f>VLOOKUP($F60,'seagrass biomass'!$G:$L,3,FALSE)</f>
        <v>2364</v>
      </c>
      <c r="L60" s="2" t="s">
        <v>19</v>
      </c>
    </row>
    <row r="61" spans="1:15" x14ac:dyDescent="0.25">
      <c r="A61" s="1" t="s">
        <v>20</v>
      </c>
      <c r="B61" s="12" t="s">
        <v>204</v>
      </c>
      <c r="C61" s="12" t="s">
        <v>160</v>
      </c>
      <c r="D61" s="12">
        <v>-8.6802480888500604</v>
      </c>
      <c r="E61" s="12">
        <v>40.693315201124101</v>
      </c>
      <c r="F61" s="12">
        <v>2025117</v>
      </c>
      <c r="G61" s="12" t="s">
        <v>205</v>
      </c>
      <c r="H61" s="12" t="s">
        <v>206</v>
      </c>
      <c r="I61" s="13" t="s">
        <v>24</v>
      </c>
      <c r="J61" s="13">
        <f>VLOOKUP($F61,'seagrass biomass'!$G:$L,2,FALSE)</f>
        <v>750</v>
      </c>
      <c r="K61" s="13">
        <f>VLOOKUP($F61,'seagrass biomass'!$G:$L,3,FALSE)</f>
        <v>345</v>
      </c>
      <c r="L61" s="13" t="s">
        <v>19</v>
      </c>
      <c r="M61" s="14">
        <v>100</v>
      </c>
      <c r="N61" s="14" t="s">
        <v>207</v>
      </c>
    </row>
    <row r="62" spans="1:15" x14ac:dyDescent="0.25">
      <c r="A62" s="1" t="s">
        <v>13</v>
      </c>
      <c r="B62" s="12" t="s">
        <v>208</v>
      </c>
      <c r="C62" s="12" t="s">
        <v>160</v>
      </c>
      <c r="D62" s="12">
        <v>-8.6801361707501616</v>
      </c>
      <c r="E62" s="12">
        <v>40.693210343642377</v>
      </c>
      <c r="F62" s="12">
        <v>2025118</v>
      </c>
      <c r="G62" s="12" t="s">
        <v>209</v>
      </c>
      <c r="H62" s="12" t="s">
        <v>210</v>
      </c>
      <c r="I62" s="13" t="s">
        <v>24</v>
      </c>
      <c r="J62" s="13">
        <f>VLOOKUP($F62,'seagrass biomass'!$G:$L,2,FALSE)</f>
        <v>1378</v>
      </c>
      <c r="K62" s="13">
        <f>VLOOKUP($F62,'seagrass biomass'!$G:$L,3,FALSE)</f>
        <v>929</v>
      </c>
      <c r="L62" s="13" t="str">
        <f>VLOOKUP($F62,'seagrass biomass'!C:F,4,FALSE)</f>
        <v>NIOZ lab</v>
      </c>
      <c r="M62" s="14">
        <v>100</v>
      </c>
      <c r="N62" s="14" t="s">
        <v>211</v>
      </c>
    </row>
    <row r="63" spans="1:15" x14ac:dyDescent="0.25">
      <c r="A63" s="1" t="s">
        <v>13</v>
      </c>
      <c r="B63" s="12" t="s">
        <v>212</v>
      </c>
      <c r="C63" s="12" t="s">
        <v>160</v>
      </c>
      <c r="D63" s="12">
        <v>-8.6792299043538836</v>
      </c>
      <c r="E63" s="12">
        <v>40.692476443160587</v>
      </c>
      <c r="F63" s="12">
        <v>2025119</v>
      </c>
      <c r="G63" s="12">
        <v>2025180</v>
      </c>
      <c r="H63" s="12" t="s">
        <v>213</v>
      </c>
      <c r="I63" s="13" t="s">
        <v>24</v>
      </c>
      <c r="J63" s="13">
        <f>VLOOKUP($F63,'seagrass biomass'!$G:$L,2,FALSE)</f>
        <v>754</v>
      </c>
      <c r="K63" s="13">
        <f>VLOOKUP($F63,'seagrass biomass'!$G:$L,3,FALSE)</f>
        <v>582</v>
      </c>
      <c r="L63" s="13" t="s">
        <v>19</v>
      </c>
      <c r="M63" s="14">
        <v>100</v>
      </c>
      <c r="N63" s="14" t="s">
        <v>214</v>
      </c>
    </row>
    <row r="64" spans="1:15" x14ac:dyDescent="0.25">
      <c r="A64" s="1" t="s">
        <v>13</v>
      </c>
      <c r="B64" s="1" t="s">
        <v>215</v>
      </c>
      <c r="C64" s="1" t="s">
        <v>160</v>
      </c>
      <c r="D64" s="1">
        <v>-8.6786745641752052</v>
      </c>
      <c r="E64" s="1">
        <v>40.692320841023538</v>
      </c>
      <c r="F64" s="1">
        <v>2025120</v>
      </c>
      <c r="G64" s="1">
        <v>2025174</v>
      </c>
      <c r="H64" s="1" t="s">
        <v>216</v>
      </c>
      <c r="I64" s="2" t="s">
        <v>38</v>
      </c>
      <c r="J64" s="2">
        <f>VLOOKUP($F64,'seagrass biomass'!$G:$L,2,FALSE)</f>
        <v>12</v>
      </c>
      <c r="K64" s="2">
        <f>VLOOKUP($F64,'seagrass biomass'!$G:$L,3,FALSE)</f>
        <v>118</v>
      </c>
      <c r="L64" s="2" t="s">
        <v>19</v>
      </c>
      <c r="O64" s="5" t="s">
        <v>217</v>
      </c>
    </row>
    <row r="65" spans="1:15" x14ac:dyDescent="0.25">
      <c r="A65" s="1" t="s">
        <v>13</v>
      </c>
      <c r="B65" s="12" t="s">
        <v>218</v>
      </c>
      <c r="C65" s="12" t="s">
        <v>160</v>
      </c>
      <c r="D65" s="12">
        <v>-8.6784701333539047</v>
      </c>
      <c r="E65" s="12">
        <v>40.692743542278471</v>
      </c>
      <c r="F65" s="12">
        <v>2025121</v>
      </c>
      <c r="G65" s="12">
        <v>2025161</v>
      </c>
      <c r="H65" s="12" t="s">
        <v>219</v>
      </c>
      <c r="I65" s="13" t="s">
        <v>38</v>
      </c>
      <c r="J65" s="13">
        <f>VLOOKUP($F65,'seagrass biomass'!$G:$L,2,FALSE)</f>
        <v>0</v>
      </c>
      <c r="K65" s="13">
        <f>VLOOKUP($F65,'seagrass biomass'!$G:$L,3,FALSE)</f>
        <v>0</v>
      </c>
      <c r="L65" s="13" t="s">
        <v>19</v>
      </c>
      <c r="M65" s="14">
        <v>0</v>
      </c>
      <c r="N65" s="14" t="s">
        <v>220</v>
      </c>
      <c r="O65" s="5"/>
    </row>
    <row r="66" spans="1:15" x14ac:dyDescent="0.25">
      <c r="A66" s="1" t="s">
        <v>20</v>
      </c>
      <c r="B66" s="12" t="s">
        <v>221</v>
      </c>
      <c r="C66" s="12" t="s">
        <v>160</v>
      </c>
      <c r="D66" s="12">
        <v>-8.6785131647526086</v>
      </c>
      <c r="E66" s="12">
        <v>40.692871757557093</v>
      </c>
      <c r="F66" s="12">
        <v>2025122</v>
      </c>
      <c r="G66" s="12">
        <v>2025175</v>
      </c>
      <c r="H66" s="12" t="s">
        <v>222</v>
      </c>
      <c r="I66" s="13" t="s">
        <v>24</v>
      </c>
      <c r="J66" s="13">
        <f>VLOOKUP($F66,'seagrass biomass'!$G:$L,2,FALSE)</f>
        <v>2650</v>
      </c>
      <c r="K66" s="13">
        <f>VLOOKUP($F66,'seagrass biomass'!$G:$L,3,FALSE)</f>
        <v>1147</v>
      </c>
      <c r="L66" s="13" t="s">
        <v>19</v>
      </c>
      <c r="M66" s="14">
        <v>100</v>
      </c>
      <c r="N66" s="14" t="s">
        <v>223</v>
      </c>
    </row>
    <row r="67" spans="1:15" x14ac:dyDescent="0.25">
      <c r="A67" s="1" t="s">
        <v>13</v>
      </c>
      <c r="B67" s="12" t="s">
        <v>224</v>
      </c>
      <c r="C67" s="12" t="s">
        <v>160</v>
      </c>
      <c r="D67" s="12">
        <v>-8.6782656999336396</v>
      </c>
      <c r="E67" s="12">
        <v>40.693166243130648</v>
      </c>
      <c r="F67" s="12">
        <v>2025123</v>
      </c>
      <c r="G67" s="12">
        <v>2025173</v>
      </c>
      <c r="H67" s="12" t="s">
        <v>225</v>
      </c>
      <c r="I67" s="13" t="s">
        <v>38</v>
      </c>
      <c r="J67" s="13">
        <f>VLOOKUP($F67,'seagrass biomass'!$G:$L,2,FALSE)</f>
        <v>0</v>
      </c>
      <c r="K67" s="13">
        <f>VLOOKUP($F67,'seagrass biomass'!$G:$L,3,FALSE)</f>
        <v>0</v>
      </c>
      <c r="L67" s="13" t="s">
        <v>19</v>
      </c>
      <c r="M67" s="12">
        <v>0</v>
      </c>
      <c r="N67" s="12" t="s">
        <v>226</v>
      </c>
      <c r="O67" s="5" t="s">
        <v>197</v>
      </c>
    </row>
    <row r="68" spans="1:15" x14ac:dyDescent="0.25">
      <c r="A68" s="1" t="s">
        <v>20</v>
      </c>
      <c r="B68" s="1" t="s">
        <v>227</v>
      </c>
      <c r="C68" s="1" t="s">
        <v>160</v>
      </c>
      <c r="D68" s="1">
        <v>-8.6793569347963579</v>
      </c>
      <c r="E68" s="1">
        <v>40.69313871123439</v>
      </c>
      <c r="F68" s="1">
        <v>2025124</v>
      </c>
      <c r="G68" s="1">
        <v>2025186</v>
      </c>
      <c r="H68" s="1" t="s">
        <v>228</v>
      </c>
      <c r="I68" s="2" t="s">
        <v>24</v>
      </c>
      <c r="J68" s="2">
        <f>VLOOKUP($F68,'seagrass biomass'!$G:$L,2,FALSE)</f>
        <v>2564</v>
      </c>
      <c r="K68" s="2">
        <f>VLOOKUP($F68,'seagrass biomass'!$G:$L,3,FALSE)</f>
        <v>2102</v>
      </c>
      <c r="L68" s="2" t="s">
        <v>19</v>
      </c>
    </row>
    <row r="69" spans="1:15" x14ac:dyDescent="0.25">
      <c r="A69" s="1" t="s">
        <v>20</v>
      </c>
      <c r="B69" s="1" t="s">
        <v>229</v>
      </c>
      <c r="C69" s="1" t="s">
        <v>160</v>
      </c>
      <c r="D69" s="1">
        <v>-8.6806002699387559</v>
      </c>
      <c r="E69" s="1">
        <v>40.692889303471297</v>
      </c>
      <c r="F69" s="1">
        <v>2025125</v>
      </c>
      <c r="G69" s="1" t="s">
        <v>230</v>
      </c>
      <c r="H69" s="1" t="s">
        <v>231</v>
      </c>
      <c r="I69" s="2" t="s">
        <v>24</v>
      </c>
      <c r="J69" s="2">
        <f>VLOOKUP($F69,'seagrass biomass'!$G:$L,2,FALSE)</f>
        <v>1891</v>
      </c>
      <c r="K69" s="2">
        <f>VLOOKUP($F69,'seagrass biomass'!$G:$L,3,FALSE)</f>
        <v>891</v>
      </c>
      <c r="L69" s="2" t="s">
        <v>19</v>
      </c>
    </row>
    <row r="70" spans="1:15" x14ac:dyDescent="0.25">
      <c r="A70" s="1" t="s">
        <v>13</v>
      </c>
      <c r="B70" s="1" t="s">
        <v>232</v>
      </c>
      <c r="C70" s="1" t="s">
        <v>160</v>
      </c>
      <c r="D70" s="1">
        <v>-8.680895940482765</v>
      </c>
      <c r="E70" s="1">
        <v>40.692943233576912</v>
      </c>
      <c r="F70" s="1">
        <v>2025126</v>
      </c>
      <c r="G70" s="1">
        <v>15829</v>
      </c>
      <c r="H70" s="1" t="s">
        <v>233</v>
      </c>
      <c r="I70" s="2" t="s">
        <v>24</v>
      </c>
      <c r="J70" s="2">
        <f>VLOOKUP($F70,'seagrass biomass'!$G:$L,2,FALSE)</f>
        <v>2057</v>
      </c>
      <c r="K70" s="2">
        <f>VLOOKUP($F70,'seagrass biomass'!$G:$L,3,FALSE)</f>
        <v>1686</v>
      </c>
      <c r="L70" s="2" t="s">
        <v>19</v>
      </c>
    </row>
    <row r="71" spans="1:15" x14ac:dyDescent="0.25">
      <c r="A71" s="1" t="s">
        <v>20</v>
      </c>
      <c r="B71" s="1" t="s">
        <v>234</v>
      </c>
      <c r="C71" s="1" t="s">
        <v>160</v>
      </c>
      <c r="D71" s="1">
        <v>-8.6807898946885604</v>
      </c>
      <c r="E71" s="1">
        <v>40.693234831962783</v>
      </c>
      <c r="F71" s="1">
        <v>2025127</v>
      </c>
      <c r="G71" s="1">
        <v>15831</v>
      </c>
      <c r="H71" s="1" t="s">
        <v>235</v>
      </c>
      <c r="I71" s="2" t="s">
        <v>24</v>
      </c>
      <c r="J71" s="2">
        <f>VLOOKUP($F71,'seagrass biomass'!$G:$L,2,FALSE)</f>
        <v>926</v>
      </c>
      <c r="K71" s="2">
        <f>VLOOKUP($F71,'seagrass biomass'!$G:$L,3,FALSE)</f>
        <v>1187</v>
      </c>
      <c r="L71" s="2" t="s">
        <v>19</v>
      </c>
    </row>
    <row r="72" spans="1:15" x14ac:dyDescent="0.25">
      <c r="A72" s="1" t="s">
        <v>13</v>
      </c>
      <c r="B72" s="1" t="s">
        <v>236</v>
      </c>
      <c r="C72" s="1" t="s">
        <v>160</v>
      </c>
      <c r="D72" s="1">
        <v>-8.6806915217466312</v>
      </c>
      <c r="E72" s="1">
        <v>40.693365938765282</v>
      </c>
      <c r="F72" s="1">
        <v>2025128</v>
      </c>
      <c r="G72" s="1">
        <v>15842</v>
      </c>
      <c r="H72" s="1" t="s">
        <v>237</v>
      </c>
      <c r="I72" s="2" t="s">
        <v>24</v>
      </c>
      <c r="J72" s="2">
        <f>VLOOKUP($F72,'seagrass biomass'!$G:$L,2,FALSE)</f>
        <v>2434</v>
      </c>
      <c r="K72" s="2">
        <f>VLOOKUP($F72,'seagrass biomass'!$G:$L,3,FALSE)</f>
        <v>1076</v>
      </c>
      <c r="L72" s="2" t="s">
        <v>19</v>
      </c>
      <c r="M72" s="5"/>
      <c r="N72" s="5"/>
    </row>
    <row r="73" spans="1:15" x14ac:dyDescent="0.25">
      <c r="A73" s="1" t="s">
        <v>13</v>
      </c>
      <c r="B73" s="12" t="s">
        <v>238</v>
      </c>
      <c r="C73" s="12" t="s">
        <v>160</v>
      </c>
      <c r="D73" s="12">
        <v>-8.6804871004117139</v>
      </c>
      <c r="E73" s="12">
        <v>40.693788643550988</v>
      </c>
      <c r="F73" s="12">
        <v>2025129</v>
      </c>
      <c r="G73" s="12">
        <v>15851</v>
      </c>
      <c r="H73" s="12" t="s">
        <v>239</v>
      </c>
      <c r="I73" s="13" t="s">
        <v>24</v>
      </c>
      <c r="J73" s="13">
        <f>VLOOKUP($F73,'seagrass biomass'!$G:$L,2,FALSE)</f>
        <v>1517</v>
      </c>
      <c r="K73" s="13">
        <f>VLOOKUP($F73,'seagrass biomass'!$G:$L,3,FALSE)</f>
        <v>811</v>
      </c>
      <c r="L73" s="13" t="str">
        <f>VLOOKUP($F73,'seagrass biomass'!C:F,4,FALSE)</f>
        <v>NIOZ lab</v>
      </c>
      <c r="M73" s="14">
        <v>100</v>
      </c>
      <c r="N73" s="14" t="s">
        <v>240</v>
      </c>
      <c r="O73" s="15" t="s">
        <v>241</v>
      </c>
    </row>
    <row r="74" spans="1:15" x14ac:dyDescent="0.25">
      <c r="A74" s="1" t="s">
        <v>20</v>
      </c>
      <c r="B74" s="12" t="s">
        <v>242</v>
      </c>
      <c r="C74" s="12" t="s">
        <v>160</v>
      </c>
      <c r="D74" s="12">
        <v>-8.680218164835722</v>
      </c>
      <c r="E74" s="12">
        <v>40.693896024574173</v>
      </c>
      <c r="F74" s="12">
        <v>2025130</v>
      </c>
      <c r="G74" s="12">
        <v>15824</v>
      </c>
      <c r="H74" s="12" t="s">
        <v>243</v>
      </c>
      <c r="I74" s="13" t="s">
        <v>38</v>
      </c>
      <c r="J74" s="13">
        <f>VLOOKUP($F74,'seagrass biomass'!$G:$L,2,FALSE)</f>
        <v>0</v>
      </c>
      <c r="K74" s="13">
        <f>VLOOKUP($F74,'seagrass biomass'!$G:$L,3,FALSE)</f>
        <v>125</v>
      </c>
      <c r="L74" s="13" t="s">
        <v>19</v>
      </c>
      <c r="M74" s="14">
        <v>0</v>
      </c>
      <c r="N74" s="14" t="s">
        <v>244</v>
      </c>
      <c r="O74" s="15" t="s">
        <v>207</v>
      </c>
    </row>
    <row r="75" spans="1:15" x14ac:dyDescent="0.25">
      <c r="A75" s="1" t="s">
        <v>13</v>
      </c>
      <c r="B75" s="12" t="s">
        <v>245</v>
      </c>
      <c r="C75" s="12" t="s">
        <v>160</v>
      </c>
      <c r="D75" s="12">
        <v>-8.6802826764779333</v>
      </c>
      <c r="E75" s="12">
        <v>40.694211347934029</v>
      </c>
      <c r="F75" s="12">
        <v>2025131</v>
      </c>
      <c r="G75" s="12">
        <v>15844</v>
      </c>
      <c r="H75" s="12" t="s">
        <v>246</v>
      </c>
      <c r="I75" s="13" t="s">
        <v>24</v>
      </c>
      <c r="J75" s="13">
        <f>VLOOKUP($F75,'seagrass biomass'!$G:$L,2,FALSE)</f>
        <v>1040</v>
      </c>
      <c r="K75" s="13">
        <f>VLOOKUP($F75,'seagrass biomass'!$G:$L,3,FALSE)</f>
        <v>1642</v>
      </c>
      <c r="L75" s="13" t="str">
        <f>VLOOKUP($F75,'seagrass biomass'!C:F,4,FALSE)</f>
        <v>NIOZ lab</v>
      </c>
      <c r="M75" s="12">
        <v>100</v>
      </c>
      <c r="N75" s="12" t="s">
        <v>247</v>
      </c>
    </row>
    <row r="76" spans="1:15" x14ac:dyDescent="0.25">
      <c r="A76" s="1" t="s">
        <v>13</v>
      </c>
      <c r="B76" s="12" t="s">
        <v>248</v>
      </c>
      <c r="C76" s="12" t="s">
        <v>160</v>
      </c>
      <c r="D76" s="12">
        <v>-8.6808380361162971</v>
      </c>
      <c r="E76" s="12">
        <v>40.694366942357632</v>
      </c>
      <c r="F76" s="12">
        <v>2025132</v>
      </c>
      <c r="G76" s="12">
        <v>15832</v>
      </c>
      <c r="H76" s="12" t="s">
        <v>249</v>
      </c>
      <c r="I76" s="13" t="s">
        <v>24</v>
      </c>
      <c r="J76" s="13">
        <f>VLOOKUP($F76,'seagrass biomass'!$G:$L,2,FALSE)</f>
        <v>821</v>
      </c>
      <c r="K76" s="13">
        <f>VLOOKUP($F76,'seagrass biomass'!$G:$L,3,FALSE)</f>
        <v>561</v>
      </c>
      <c r="L76" s="13" t="s">
        <v>19</v>
      </c>
      <c r="M76" s="12">
        <v>100</v>
      </c>
      <c r="N76" s="12" t="s">
        <v>250</v>
      </c>
      <c r="O76" s="16" t="s">
        <v>251</v>
      </c>
    </row>
    <row r="77" spans="1:15" x14ac:dyDescent="0.25">
      <c r="A77" s="1" t="s">
        <v>20</v>
      </c>
      <c r="B77" s="1" t="s">
        <v>252</v>
      </c>
      <c r="C77" s="1" t="s">
        <v>160</v>
      </c>
      <c r="D77" s="1">
        <v>-8.6809415141559256</v>
      </c>
      <c r="E77" s="1">
        <v>40.694132565412772</v>
      </c>
      <c r="F77" s="1">
        <v>2025133</v>
      </c>
      <c r="G77" s="1">
        <v>15836</v>
      </c>
      <c r="H77" s="1" t="s">
        <v>253</v>
      </c>
      <c r="I77" s="2" t="s">
        <v>24</v>
      </c>
      <c r="J77" s="2">
        <f>VLOOKUP($F77,'seagrass biomass'!$G:$L,2,FALSE)</f>
        <v>951</v>
      </c>
      <c r="K77" s="2">
        <f>VLOOKUP($F77,'seagrass biomass'!$G:$L,3,FALSE)</f>
        <v>573.5</v>
      </c>
      <c r="L77" s="2" t="s">
        <v>19</v>
      </c>
    </row>
    <row r="78" spans="1:15" x14ac:dyDescent="0.25">
      <c r="A78" s="1" t="s">
        <v>20</v>
      </c>
      <c r="B78" s="1" t="s">
        <v>254</v>
      </c>
      <c r="C78" s="1" t="s">
        <v>160</v>
      </c>
      <c r="D78" s="1">
        <v>-8.6811687788549321</v>
      </c>
      <c r="E78" s="1">
        <v>40.693955148538137</v>
      </c>
      <c r="F78" s="1">
        <v>2025134</v>
      </c>
      <c r="G78" s="1">
        <v>15837</v>
      </c>
      <c r="H78" s="1" t="s">
        <v>255</v>
      </c>
      <c r="I78" s="2" t="s">
        <v>18</v>
      </c>
      <c r="J78" s="2">
        <f>VLOOKUP($F78,'seagrass biomass'!$G:$L,2,FALSE)</f>
        <v>12</v>
      </c>
      <c r="K78" s="2">
        <f>VLOOKUP($F78,'seagrass biomass'!$G:$L,3,FALSE)</f>
        <v>0</v>
      </c>
      <c r="L78" s="2" t="s">
        <v>19</v>
      </c>
    </row>
    <row r="79" spans="1:15" x14ac:dyDescent="0.25">
      <c r="A79" s="1" t="s">
        <v>13</v>
      </c>
      <c r="B79" s="1" t="s">
        <v>256</v>
      </c>
      <c r="C79" s="1" t="s">
        <v>160</v>
      </c>
      <c r="D79" s="1">
        <v>-8.6810424570285019</v>
      </c>
      <c r="E79" s="1">
        <v>40.69394423699125</v>
      </c>
      <c r="F79" s="1">
        <v>2025135</v>
      </c>
      <c r="G79" s="1">
        <v>15825</v>
      </c>
      <c r="H79" s="1" t="s">
        <v>257</v>
      </c>
      <c r="I79" s="2" t="s">
        <v>38</v>
      </c>
      <c r="J79" s="2">
        <f>VLOOKUP($F79,'seagrass biomass'!$G:$L,2,FALSE)</f>
        <v>0</v>
      </c>
      <c r="K79" s="2">
        <f>VLOOKUP($F79,'seagrass biomass'!$G:$L,3,FALSE)</f>
        <v>0</v>
      </c>
      <c r="L79" s="2" t="s">
        <v>19</v>
      </c>
    </row>
    <row r="80" spans="1:15" x14ac:dyDescent="0.25">
      <c r="A80" s="1" t="s">
        <v>20</v>
      </c>
      <c r="B80" s="1" t="s">
        <v>258</v>
      </c>
      <c r="C80" s="1" t="s">
        <v>160</v>
      </c>
      <c r="D80" s="1">
        <v>-8.6809817953040636</v>
      </c>
      <c r="E80" s="1">
        <v>40.693613677832673</v>
      </c>
      <c r="F80" s="1">
        <v>2025136</v>
      </c>
      <c r="G80" s="1">
        <v>15849</v>
      </c>
      <c r="H80" s="1" t="s">
        <v>259</v>
      </c>
      <c r="I80" s="2" t="s">
        <v>24</v>
      </c>
      <c r="J80" s="2">
        <f>VLOOKUP($F80,'seagrass biomass'!$G:$L,2,FALSE)</f>
        <v>1396</v>
      </c>
      <c r="K80" s="2">
        <f>VLOOKUP($F80,'seagrass biomass'!$G:$L,3,FALSE)</f>
        <v>916</v>
      </c>
      <c r="L80" s="2" t="str">
        <f>VLOOKUP($F80,'seagrass biomass'!C:F,4,FALSE)</f>
        <v>NIOZ lab</v>
      </c>
      <c r="M80" s="5"/>
      <c r="N80" s="5"/>
    </row>
    <row r="81" spans="1:15" x14ac:dyDescent="0.25">
      <c r="A81" s="1" t="s">
        <v>13</v>
      </c>
      <c r="B81" s="1" t="s">
        <v>260</v>
      </c>
      <c r="C81" s="1" t="s">
        <v>160</v>
      </c>
      <c r="D81" s="1">
        <v>-8.6812468753418877</v>
      </c>
      <c r="E81" s="1">
        <v>40.693521531222231</v>
      </c>
      <c r="F81" s="1">
        <v>2025137</v>
      </c>
      <c r="G81" s="1">
        <v>15850</v>
      </c>
      <c r="H81" s="1" t="s">
        <v>261</v>
      </c>
      <c r="I81" s="2" t="s">
        <v>24</v>
      </c>
      <c r="J81" s="2">
        <f>VLOOKUP($F81,'seagrass biomass'!$G:$L,2,FALSE)</f>
        <v>1476</v>
      </c>
      <c r="K81" s="2">
        <f>VLOOKUP($F81,'seagrass biomass'!$G:$L,3,FALSE)</f>
        <v>1194</v>
      </c>
      <c r="L81" s="2" t="s">
        <v>19</v>
      </c>
      <c r="M81" s="5"/>
      <c r="N81" s="5"/>
      <c r="O81" s="5"/>
    </row>
    <row r="82" spans="1:15" x14ac:dyDescent="0.25">
      <c r="A82" s="1" t="s">
        <v>20</v>
      </c>
      <c r="B82" s="1" t="s">
        <v>262</v>
      </c>
      <c r="C82" s="1" t="s">
        <v>160</v>
      </c>
      <c r="D82" s="1">
        <v>-8.6814587951708617</v>
      </c>
      <c r="E82" s="1">
        <v>40.693563920558177</v>
      </c>
      <c r="F82" s="1">
        <v>2025138</v>
      </c>
      <c r="G82" s="1">
        <v>15845</v>
      </c>
      <c r="H82" s="1" t="s">
        <v>263</v>
      </c>
      <c r="I82" s="2" t="s">
        <v>24</v>
      </c>
      <c r="J82" s="2">
        <f>VLOOKUP($F82,'seagrass biomass'!$G:$L,2,FALSE)</f>
        <v>1220</v>
      </c>
      <c r="K82" s="2">
        <f>VLOOKUP($F82,'seagrass biomass'!$G:$L,3,FALSE)</f>
        <v>2529</v>
      </c>
      <c r="L82" s="2" t="s">
        <v>19</v>
      </c>
      <c r="M82" s="5"/>
      <c r="N82" s="5"/>
      <c r="O82" s="5"/>
    </row>
    <row r="83" spans="1:15" x14ac:dyDescent="0.25">
      <c r="A83" s="1" t="s">
        <v>13</v>
      </c>
      <c r="B83" s="1" t="s">
        <v>264</v>
      </c>
      <c r="C83" s="1" t="s">
        <v>160</v>
      </c>
      <c r="D83" s="1">
        <v>-8.6820066442289558</v>
      </c>
      <c r="E83" s="1">
        <v>40.693254413858291</v>
      </c>
      <c r="F83" s="1">
        <v>2025139</v>
      </c>
      <c r="G83" s="1">
        <v>15826</v>
      </c>
      <c r="H83" s="1" t="s">
        <v>265</v>
      </c>
      <c r="I83" s="2" t="s">
        <v>24</v>
      </c>
      <c r="J83" s="2">
        <f>VLOOKUP($F83,'seagrass biomass'!$G:$L,2,FALSE)</f>
        <v>780</v>
      </c>
      <c r="K83" s="2">
        <f>VLOOKUP($F83,'seagrass biomass'!$G:$L,3,FALSE)</f>
        <v>557</v>
      </c>
      <c r="L83" s="2" t="str">
        <f>VLOOKUP($F83,'seagrass biomass'!C:F,4,FALSE)</f>
        <v>NIOZ lab</v>
      </c>
    </row>
    <row r="84" spans="1:15" x14ac:dyDescent="0.25">
      <c r="A84" s="1" t="s">
        <v>13</v>
      </c>
      <c r="B84" s="1" t="s">
        <v>266</v>
      </c>
      <c r="C84" s="1" t="s">
        <v>160</v>
      </c>
      <c r="D84" s="1">
        <v>-8.6818022315358814</v>
      </c>
      <c r="E84" s="1">
        <v>40.693677121013202</v>
      </c>
      <c r="F84" s="1">
        <v>2025140</v>
      </c>
      <c r="G84" s="1">
        <v>15841</v>
      </c>
      <c r="H84" s="1" t="s">
        <v>267</v>
      </c>
      <c r="I84" s="2" t="s">
        <v>24</v>
      </c>
      <c r="J84" s="2">
        <f>VLOOKUP($F84,'seagrass biomass'!$G:$L,2,FALSE)</f>
        <v>1415</v>
      </c>
      <c r="K84" s="2">
        <f>VLOOKUP($F84,'seagrass biomass'!$G:$L,3,FALSE)</f>
        <v>833</v>
      </c>
      <c r="L84" s="2" t="s">
        <v>19</v>
      </c>
      <c r="M84" s="5"/>
      <c r="N84" s="5"/>
    </row>
    <row r="85" spans="1:15" x14ac:dyDescent="0.25">
      <c r="A85" s="1" t="s">
        <v>13</v>
      </c>
      <c r="B85" s="1" t="s">
        <v>268</v>
      </c>
      <c r="C85" s="1" t="s">
        <v>160</v>
      </c>
      <c r="D85" s="1">
        <v>-8.6815978162441088</v>
      </c>
      <c r="E85" s="1">
        <v>40.694099827765491</v>
      </c>
      <c r="F85" s="1">
        <v>2025141</v>
      </c>
      <c r="G85" s="1">
        <v>15830</v>
      </c>
      <c r="H85" s="1" t="s">
        <v>269</v>
      </c>
      <c r="I85" s="2" t="s">
        <v>24</v>
      </c>
      <c r="J85" s="2">
        <f>VLOOKUP($F85,'seagrass biomass'!$G:$L,2,FALSE)</f>
        <v>1552</v>
      </c>
      <c r="K85" s="2">
        <f>VLOOKUP($F85,'seagrass biomass'!$G:$L,3,FALSE)</f>
        <v>561</v>
      </c>
      <c r="L85" s="2" t="s">
        <v>19</v>
      </c>
    </row>
    <row r="86" spans="1:15" x14ac:dyDescent="0.25">
      <c r="A86" s="1" t="s">
        <v>13</v>
      </c>
      <c r="B86" s="1" t="s">
        <v>270</v>
      </c>
      <c r="C86" s="1" t="s">
        <v>160</v>
      </c>
      <c r="D86" s="1">
        <v>-8.6813933983535598</v>
      </c>
      <c r="E86" s="1">
        <v>40.694522534115187</v>
      </c>
      <c r="F86" s="1">
        <v>2025142</v>
      </c>
      <c r="G86" s="1">
        <v>15838</v>
      </c>
      <c r="H86" s="1" t="s">
        <v>271</v>
      </c>
      <c r="I86" s="2" t="s">
        <v>24</v>
      </c>
      <c r="J86" s="2">
        <f>VLOOKUP($F86,'seagrass biomass'!$G:$L,2,FALSE)</f>
        <v>2799</v>
      </c>
      <c r="K86" s="2">
        <f>VLOOKUP($F86,'seagrass biomass'!$G:$L,3,FALSE)</f>
        <v>1299</v>
      </c>
      <c r="L86" s="2" t="s">
        <v>19</v>
      </c>
    </row>
    <row r="87" spans="1:15" x14ac:dyDescent="0.25">
      <c r="A87" s="1" t="s">
        <v>13</v>
      </c>
      <c r="B87" s="1" t="s">
        <v>272</v>
      </c>
      <c r="C87" s="1" t="s">
        <v>15</v>
      </c>
      <c r="D87" s="1">
        <v>-8.6897566949289704</v>
      </c>
      <c r="E87" s="1">
        <v>40.673428604960243</v>
      </c>
      <c r="I87" s="2" t="s">
        <v>273</v>
      </c>
    </row>
    <row r="88" spans="1:15" x14ac:dyDescent="0.25">
      <c r="A88" s="1" t="s">
        <v>13</v>
      </c>
      <c r="B88" s="1" t="s">
        <v>274</v>
      </c>
      <c r="C88" s="1" t="s">
        <v>15</v>
      </c>
      <c r="D88" s="1">
        <v>-8.6900685856909305</v>
      </c>
      <c r="E88" s="1">
        <v>40.672449798669959</v>
      </c>
      <c r="I88" s="2" t="s">
        <v>273</v>
      </c>
    </row>
    <row r="89" spans="1:15" x14ac:dyDescent="0.25">
      <c r="A89" s="1" t="s">
        <v>13</v>
      </c>
      <c r="B89" s="1" t="s">
        <v>275</v>
      </c>
      <c r="C89" s="1" t="s">
        <v>15</v>
      </c>
      <c r="D89" s="1">
        <v>-8.6896867181544302</v>
      </c>
      <c r="E89" s="1">
        <v>40.672793827457873</v>
      </c>
      <c r="I89" s="2" t="s">
        <v>273</v>
      </c>
    </row>
    <row r="90" spans="1:15" x14ac:dyDescent="0.25">
      <c r="A90" s="1" t="s">
        <v>13</v>
      </c>
      <c r="B90" s="1" t="s">
        <v>276</v>
      </c>
      <c r="C90" s="1" t="s">
        <v>15</v>
      </c>
      <c r="D90" s="1">
        <v>-8.6893048466892626</v>
      </c>
      <c r="E90" s="1">
        <v>40.673137854947939</v>
      </c>
      <c r="I90" s="2" t="s">
        <v>273</v>
      </c>
    </row>
    <row r="91" spans="1:15" x14ac:dyDescent="0.25">
      <c r="A91" s="1" t="s">
        <v>13</v>
      </c>
      <c r="B91" s="1" t="s">
        <v>277</v>
      </c>
      <c r="C91" s="1" t="s">
        <v>15</v>
      </c>
      <c r="D91" s="1">
        <v>-8.688922971295348</v>
      </c>
      <c r="E91" s="1">
        <v>40.673481881140113</v>
      </c>
      <c r="I91" s="2" t="s">
        <v>273</v>
      </c>
    </row>
    <row r="92" spans="1:15" x14ac:dyDescent="0.25">
      <c r="A92" s="1" t="s">
        <v>13</v>
      </c>
      <c r="B92" s="1" t="s">
        <v>278</v>
      </c>
      <c r="C92" s="1" t="s">
        <v>15</v>
      </c>
      <c r="D92" s="1">
        <v>-8.6885410919726134</v>
      </c>
      <c r="E92" s="1">
        <v>40.673825906034352</v>
      </c>
      <c r="I92" s="2" t="s">
        <v>273</v>
      </c>
    </row>
    <row r="93" spans="1:15" x14ac:dyDescent="0.25">
      <c r="A93" s="1" t="s">
        <v>13</v>
      </c>
      <c r="B93" s="1" t="s">
        <v>279</v>
      </c>
      <c r="C93" s="1" t="s">
        <v>15</v>
      </c>
      <c r="D93" s="1">
        <v>-8.6877773215403682</v>
      </c>
      <c r="E93" s="1">
        <v>40.674513951928837</v>
      </c>
      <c r="I93" s="2" t="s">
        <v>273</v>
      </c>
    </row>
    <row r="94" spans="1:15" x14ac:dyDescent="0.25">
      <c r="A94" s="1" t="s">
        <v>20</v>
      </c>
      <c r="B94" s="1" t="s">
        <v>280</v>
      </c>
      <c r="C94" s="1" t="s">
        <v>15</v>
      </c>
      <c r="D94" s="1">
        <v>-8.6914380556707549</v>
      </c>
      <c r="E94" s="1">
        <v>40.673146740160718</v>
      </c>
      <c r="I94" s="2" t="s">
        <v>281</v>
      </c>
    </row>
    <row r="95" spans="1:15" x14ac:dyDescent="0.25">
      <c r="A95" s="1" t="s">
        <v>20</v>
      </c>
      <c r="B95" s="1" t="s">
        <v>282</v>
      </c>
      <c r="C95" s="1" t="s">
        <v>15</v>
      </c>
      <c r="D95" s="1">
        <v>-8.6901231642737375</v>
      </c>
      <c r="E95" s="1">
        <v>40.673422172042883</v>
      </c>
      <c r="I95" s="2" t="s">
        <v>519</v>
      </c>
      <c r="O95" s="1" t="s">
        <v>283</v>
      </c>
    </row>
    <row r="96" spans="1:15" x14ac:dyDescent="0.25">
      <c r="A96" s="1" t="s">
        <v>20</v>
      </c>
      <c r="B96" s="1" t="s">
        <v>284</v>
      </c>
      <c r="C96" s="1" t="s">
        <v>15</v>
      </c>
      <c r="D96" s="1">
        <v>-8.689664243430629</v>
      </c>
      <c r="E96" s="1">
        <v>40.673417487361718</v>
      </c>
      <c r="I96" s="2" t="s">
        <v>273</v>
      </c>
    </row>
    <row r="97" spans="1:9" x14ac:dyDescent="0.25">
      <c r="A97" s="1" t="s">
        <v>20</v>
      </c>
      <c r="B97" s="1" t="s">
        <v>285</v>
      </c>
      <c r="C97" s="1" t="s">
        <v>15</v>
      </c>
      <c r="D97" s="1">
        <v>-8.6880517055060107</v>
      </c>
      <c r="E97" s="1">
        <v>40.674507767927551</v>
      </c>
      <c r="I97" s="2" t="s">
        <v>273</v>
      </c>
    </row>
    <row r="98" spans="1:9" x14ac:dyDescent="0.25">
      <c r="A98" s="1" t="s">
        <v>13</v>
      </c>
      <c r="B98" s="1" t="s">
        <v>286</v>
      </c>
      <c r="C98" s="1" t="s">
        <v>160</v>
      </c>
      <c r="D98" s="1">
        <v>-8.6814512910565291</v>
      </c>
      <c r="E98" s="1">
        <v>40.693098825050583</v>
      </c>
      <c r="I98" s="2" t="s">
        <v>273</v>
      </c>
    </row>
    <row r="99" spans="1:9" x14ac:dyDescent="0.25">
      <c r="A99" s="1" t="s">
        <v>20</v>
      </c>
      <c r="B99" s="1" t="s">
        <v>287</v>
      </c>
      <c r="C99" s="1" t="s">
        <v>160</v>
      </c>
      <c r="D99" s="1">
        <v>-8.6811372994927538</v>
      </c>
      <c r="E99" s="1">
        <v>40.69418956605297</v>
      </c>
      <c r="I99" s="2" t="s">
        <v>281</v>
      </c>
    </row>
    <row r="100" spans="1:9" x14ac:dyDescent="0.25">
      <c r="A100" s="1" t="s">
        <v>20</v>
      </c>
      <c r="B100" s="1" t="s">
        <v>288</v>
      </c>
      <c r="C100" s="1" t="s">
        <v>160</v>
      </c>
      <c r="D100" s="1">
        <v>-8.678956450129661</v>
      </c>
      <c r="E100" s="1">
        <v>40.693785384236108</v>
      </c>
      <c r="I100" s="2" t="s">
        <v>273</v>
      </c>
    </row>
  </sheetData>
  <autoFilter ref="A1:O100"/>
  <sortState ref="A2:O100">
    <sortCondition ref="F2:F100"/>
  </sortState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79"/>
  <sheetViews>
    <sheetView workbookViewId="0"/>
  </sheetViews>
  <sheetFormatPr defaultColWidth="8.7109375" defaultRowHeight="15" x14ac:dyDescent="0.25"/>
  <cols>
    <col min="1" max="4" width="8.7109375" style="1"/>
    <col min="5" max="6" width="15.140625" style="1" customWidth="1"/>
    <col min="7" max="7" width="25.5703125" style="1" bestFit="1" customWidth="1"/>
    <col min="8" max="8" width="16.28515625" style="1" bestFit="1" customWidth="1"/>
    <col min="9" max="9" width="12" style="1" customWidth="1"/>
    <col min="10" max="10" width="7.28515625" style="1" bestFit="1" customWidth="1"/>
    <col min="11" max="11" width="12" style="1" bestFit="1" customWidth="1"/>
    <col min="12" max="16384" width="8.7109375" style="1"/>
  </cols>
  <sheetData>
    <row r="1" spans="1:18" x14ac:dyDescent="0.2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12</v>
      </c>
      <c r="G1" s="17" t="s">
        <v>294</v>
      </c>
      <c r="H1" s="17" t="s">
        <v>295</v>
      </c>
      <c r="I1" s="5"/>
      <c r="J1" s="5"/>
      <c r="K1" s="5"/>
      <c r="O1" s="18" t="s">
        <v>296</v>
      </c>
      <c r="P1" s="19"/>
      <c r="Q1" s="19"/>
      <c r="R1" s="19"/>
    </row>
    <row r="2" spans="1:18" x14ac:dyDescent="0.25">
      <c r="A2" s="1">
        <v>149</v>
      </c>
      <c r="C2" s="6">
        <v>2025001</v>
      </c>
      <c r="D2" s="6" t="s">
        <v>297</v>
      </c>
      <c r="E2" s="5">
        <f t="shared" ref="E2:E65" si="0">IFERROR(IF(VLOOKUP(B2,$O$5:$P$148,2) = "empty", 0, VLOOKUP(B2,$O$5:$P$148,2)), 0)</f>
        <v>0</v>
      </c>
      <c r="F2" s="5" t="s">
        <v>298</v>
      </c>
      <c r="G2" s="17" t="s">
        <v>299</v>
      </c>
      <c r="H2" s="5" t="s">
        <v>297</v>
      </c>
      <c r="I2" s="5" t="s">
        <v>300</v>
      </c>
      <c r="J2" s="5" t="s">
        <v>301</v>
      </c>
      <c r="K2" s="5" t="s">
        <v>302</v>
      </c>
      <c r="L2" s="3"/>
      <c r="O2" s="18" t="s">
        <v>303</v>
      </c>
      <c r="P2" s="19"/>
      <c r="Q2" s="19"/>
      <c r="R2" s="19" t="s">
        <v>304</v>
      </c>
    </row>
    <row r="3" spans="1:18" x14ac:dyDescent="0.25">
      <c r="A3" s="1">
        <v>150</v>
      </c>
      <c r="C3" s="6">
        <v>2025001</v>
      </c>
      <c r="D3" s="6" t="s">
        <v>300</v>
      </c>
      <c r="E3" s="5">
        <f t="shared" si="0"/>
        <v>0</v>
      </c>
      <c r="F3" s="5" t="s">
        <v>298</v>
      </c>
      <c r="G3" s="65">
        <v>2025003</v>
      </c>
      <c r="H3" s="64">
        <v>315</v>
      </c>
      <c r="I3" s="64">
        <v>250</v>
      </c>
      <c r="J3" s="64"/>
      <c r="K3" s="64">
        <v>282.5</v>
      </c>
      <c r="O3" s="18"/>
      <c r="P3" s="19"/>
      <c r="Q3" s="19"/>
      <c r="R3" s="19" t="s">
        <v>305</v>
      </c>
    </row>
    <row r="4" spans="1:18" x14ac:dyDescent="0.25">
      <c r="A4" s="1">
        <v>151</v>
      </c>
      <c r="C4" s="6">
        <v>2025002</v>
      </c>
      <c r="D4" s="6" t="s">
        <v>297</v>
      </c>
      <c r="E4" s="5">
        <f t="shared" si="0"/>
        <v>0</v>
      </c>
      <c r="F4" s="5" t="s">
        <v>298</v>
      </c>
      <c r="G4" s="5">
        <v>2025004</v>
      </c>
      <c r="H4" s="63">
        <v>42</v>
      </c>
      <c r="I4" s="63">
        <v>141</v>
      </c>
      <c r="J4" s="63"/>
      <c r="K4" s="63">
        <v>91.5</v>
      </c>
      <c r="O4" s="20" t="s">
        <v>290</v>
      </c>
      <c r="P4" s="20" t="s">
        <v>293</v>
      </c>
      <c r="Q4" s="19"/>
      <c r="R4" s="19"/>
    </row>
    <row r="5" spans="1:18" x14ac:dyDescent="0.25">
      <c r="A5" s="1">
        <v>152</v>
      </c>
      <c r="C5" s="6">
        <v>2025002</v>
      </c>
      <c r="D5" s="6" t="s">
        <v>300</v>
      </c>
      <c r="E5" s="5">
        <f t="shared" si="0"/>
        <v>0</v>
      </c>
      <c r="F5" s="5" t="s">
        <v>298</v>
      </c>
      <c r="G5" s="5">
        <v>2025005</v>
      </c>
      <c r="H5" s="63">
        <v>2222</v>
      </c>
      <c r="I5" s="63">
        <v>939</v>
      </c>
      <c r="J5" s="63"/>
      <c r="K5" s="63">
        <v>1580.5</v>
      </c>
      <c r="O5" s="21" t="s">
        <v>306</v>
      </c>
      <c r="P5" s="54">
        <v>2797</v>
      </c>
      <c r="Q5" s="19"/>
      <c r="R5" s="19" t="s">
        <v>307</v>
      </c>
    </row>
    <row r="6" spans="1:18" x14ac:dyDescent="0.25">
      <c r="A6" s="1">
        <v>107</v>
      </c>
      <c r="B6" s="1" t="s">
        <v>308</v>
      </c>
      <c r="C6" s="1">
        <v>2025003</v>
      </c>
      <c r="D6" s="1" t="s">
        <v>297</v>
      </c>
      <c r="E6" s="5">
        <f t="shared" si="0"/>
        <v>315</v>
      </c>
      <c r="G6" s="5">
        <v>2025006</v>
      </c>
      <c r="H6" s="63">
        <v>17</v>
      </c>
      <c r="I6" s="63">
        <v>0</v>
      </c>
      <c r="J6" s="63"/>
      <c r="K6" s="63">
        <v>8.5</v>
      </c>
      <c r="O6" s="21" t="s">
        <v>309</v>
      </c>
      <c r="P6" s="54">
        <v>1048</v>
      </c>
      <c r="Q6" s="19"/>
      <c r="R6" s="19"/>
    </row>
    <row r="7" spans="1:18" x14ac:dyDescent="0.25">
      <c r="A7" s="1">
        <v>108</v>
      </c>
      <c r="B7" s="1" t="s">
        <v>310</v>
      </c>
      <c r="C7" s="1">
        <v>2025003</v>
      </c>
      <c r="D7" s="1" t="s">
        <v>300</v>
      </c>
      <c r="E7" s="5">
        <f>IFERROR(IF(VLOOKUP(B7,$O$5:$P$148,2) = "empty", 0, VLOOKUP(B7,$O$5:$P$148,2)), 0)</f>
        <v>250</v>
      </c>
      <c r="G7" s="5">
        <v>2025007</v>
      </c>
      <c r="H7" s="63">
        <v>0</v>
      </c>
      <c r="I7" s="63">
        <v>0</v>
      </c>
      <c r="J7" s="63"/>
      <c r="K7" s="63">
        <v>0</v>
      </c>
      <c r="O7" s="22" t="s">
        <v>311</v>
      </c>
      <c r="P7" s="55">
        <v>1876</v>
      </c>
      <c r="Q7" s="19"/>
      <c r="R7" s="19"/>
    </row>
    <row r="8" spans="1:18" x14ac:dyDescent="0.25">
      <c r="A8" s="1">
        <v>111</v>
      </c>
      <c r="B8" s="1" t="s">
        <v>312</v>
      </c>
      <c r="C8" s="1">
        <v>2025004</v>
      </c>
      <c r="D8" s="1" t="s">
        <v>297</v>
      </c>
      <c r="E8" s="5">
        <f t="shared" si="0"/>
        <v>42</v>
      </c>
      <c r="G8" s="5">
        <v>2025008</v>
      </c>
      <c r="H8" s="63">
        <v>2418</v>
      </c>
      <c r="I8" s="63">
        <v>1706</v>
      </c>
      <c r="J8" s="63"/>
      <c r="K8" s="63">
        <v>2062</v>
      </c>
      <c r="O8" s="22" t="s">
        <v>313</v>
      </c>
      <c r="P8" s="55">
        <v>608</v>
      </c>
      <c r="Q8" s="19"/>
      <c r="R8" s="19"/>
    </row>
    <row r="9" spans="1:18" x14ac:dyDescent="0.25">
      <c r="A9" s="1">
        <v>112</v>
      </c>
      <c r="B9" s="1" t="s">
        <v>314</v>
      </c>
      <c r="C9" s="1">
        <v>2025004</v>
      </c>
      <c r="D9" s="1" t="s">
        <v>300</v>
      </c>
      <c r="E9" s="5">
        <f t="shared" si="0"/>
        <v>141</v>
      </c>
      <c r="G9" s="5">
        <v>2025009</v>
      </c>
      <c r="H9" s="63">
        <v>1377</v>
      </c>
      <c r="I9" s="63">
        <v>1864</v>
      </c>
      <c r="J9" s="63"/>
      <c r="K9" s="63">
        <v>1620.5</v>
      </c>
      <c r="O9" s="22" t="s">
        <v>315</v>
      </c>
      <c r="P9" s="55">
        <f>3982-6.2</f>
        <v>3975.8</v>
      </c>
      <c r="Q9" s="19"/>
      <c r="R9" s="19"/>
    </row>
    <row r="10" spans="1:18" x14ac:dyDescent="0.25">
      <c r="A10" s="1">
        <v>113</v>
      </c>
      <c r="B10" s="1" t="s">
        <v>316</v>
      </c>
      <c r="C10" s="1">
        <v>2025005</v>
      </c>
      <c r="D10" s="1" t="s">
        <v>297</v>
      </c>
      <c r="E10" s="5">
        <f t="shared" si="0"/>
        <v>2222</v>
      </c>
      <c r="G10" s="5">
        <v>2025010</v>
      </c>
      <c r="H10" s="63">
        <v>2797</v>
      </c>
      <c r="I10" s="63">
        <v>1048</v>
      </c>
      <c r="J10" s="63"/>
      <c r="K10" s="63">
        <v>1922.5</v>
      </c>
      <c r="O10" s="22" t="s">
        <v>317</v>
      </c>
      <c r="P10" s="55">
        <v>2080</v>
      </c>
      <c r="Q10" s="19"/>
      <c r="R10" s="19"/>
    </row>
    <row r="11" spans="1:18" x14ac:dyDescent="0.25">
      <c r="A11" s="1">
        <v>114</v>
      </c>
      <c r="B11" s="1" t="s">
        <v>318</v>
      </c>
      <c r="C11" s="1">
        <v>2025005</v>
      </c>
      <c r="D11" s="1" t="s">
        <v>300</v>
      </c>
      <c r="E11" s="5">
        <f t="shared" si="0"/>
        <v>939</v>
      </c>
      <c r="G11" s="5">
        <v>2025011</v>
      </c>
      <c r="H11" s="63">
        <v>3628</v>
      </c>
      <c r="I11" s="63">
        <v>977</v>
      </c>
      <c r="J11" s="63"/>
      <c r="K11" s="63">
        <v>2302.5</v>
      </c>
      <c r="O11" s="22" t="s">
        <v>319</v>
      </c>
      <c r="P11" s="55">
        <v>3531</v>
      </c>
      <c r="Q11" s="19"/>
      <c r="R11" s="19"/>
    </row>
    <row r="12" spans="1:18" x14ac:dyDescent="0.25">
      <c r="A12" s="1">
        <v>115</v>
      </c>
      <c r="B12" s="1" t="s">
        <v>320</v>
      </c>
      <c r="C12" s="1">
        <v>2025006</v>
      </c>
      <c r="D12" s="1" t="s">
        <v>297</v>
      </c>
      <c r="E12" s="5">
        <f t="shared" si="0"/>
        <v>17</v>
      </c>
      <c r="G12" s="5">
        <v>2025012</v>
      </c>
      <c r="H12" s="63">
        <v>0</v>
      </c>
      <c r="I12" s="63">
        <v>0</v>
      </c>
      <c r="J12" s="63"/>
      <c r="K12" s="63">
        <v>0</v>
      </c>
      <c r="O12" s="22" t="s">
        <v>321</v>
      </c>
      <c r="P12" s="55">
        <v>2364</v>
      </c>
      <c r="Q12" s="19"/>
      <c r="R12" s="19"/>
    </row>
    <row r="13" spans="1:18" x14ac:dyDescent="0.25">
      <c r="A13" s="1">
        <v>116</v>
      </c>
      <c r="B13" s="1" t="s">
        <v>322</v>
      </c>
      <c r="C13" s="1">
        <v>2025006</v>
      </c>
      <c r="D13" s="1" t="s">
        <v>300</v>
      </c>
      <c r="E13" s="5">
        <f t="shared" si="0"/>
        <v>0</v>
      </c>
      <c r="G13" s="5">
        <v>2025013</v>
      </c>
      <c r="H13" s="63">
        <v>1701</v>
      </c>
      <c r="I13" s="63">
        <v>1821</v>
      </c>
      <c r="J13" s="63"/>
      <c r="K13" s="63">
        <v>1761</v>
      </c>
      <c r="O13" s="22" t="s">
        <v>323</v>
      </c>
      <c r="P13" s="55">
        <v>750</v>
      </c>
      <c r="Q13" s="19"/>
      <c r="R13" s="19"/>
    </row>
    <row r="14" spans="1:18" x14ac:dyDescent="0.25">
      <c r="A14" s="1">
        <v>117</v>
      </c>
      <c r="B14" s="1" t="s">
        <v>324</v>
      </c>
      <c r="C14" s="1">
        <v>2025007</v>
      </c>
      <c r="D14" s="1" t="s">
        <v>297</v>
      </c>
      <c r="E14" s="5">
        <f t="shared" si="0"/>
        <v>0</v>
      </c>
      <c r="G14" s="5">
        <v>2025014</v>
      </c>
      <c r="H14" s="63">
        <v>0</v>
      </c>
      <c r="I14" s="63">
        <v>0</v>
      </c>
      <c r="J14" s="63"/>
      <c r="K14" s="63">
        <v>0</v>
      </c>
      <c r="O14" s="22" t="s">
        <v>325</v>
      </c>
      <c r="P14" s="55">
        <v>345</v>
      </c>
      <c r="Q14" s="19"/>
      <c r="R14" s="19"/>
    </row>
    <row r="15" spans="1:18" x14ac:dyDescent="0.25">
      <c r="A15" s="1">
        <v>118</v>
      </c>
      <c r="B15" s="1" t="s">
        <v>326</v>
      </c>
      <c r="C15" s="1">
        <v>2025007</v>
      </c>
      <c r="D15" s="1" t="s">
        <v>300</v>
      </c>
      <c r="E15" s="5">
        <f t="shared" si="0"/>
        <v>0</v>
      </c>
      <c r="G15" s="5">
        <v>2025015</v>
      </c>
      <c r="H15" s="63">
        <v>31</v>
      </c>
      <c r="I15" s="63">
        <v>189</v>
      </c>
      <c r="J15" s="63"/>
      <c r="K15" s="63">
        <v>110</v>
      </c>
      <c r="O15" s="21" t="s">
        <v>327</v>
      </c>
      <c r="P15" s="54">
        <v>754</v>
      </c>
      <c r="Q15" s="19"/>
      <c r="R15" s="19"/>
    </row>
    <row r="16" spans="1:18" x14ac:dyDescent="0.25">
      <c r="A16" s="1">
        <v>135</v>
      </c>
      <c r="B16" s="1" t="s">
        <v>328</v>
      </c>
      <c r="C16" s="1">
        <v>2025008</v>
      </c>
      <c r="D16" s="1" t="s">
        <v>297</v>
      </c>
      <c r="E16" s="5">
        <f t="shared" si="0"/>
        <v>2418</v>
      </c>
      <c r="G16" s="5">
        <v>2025016</v>
      </c>
      <c r="H16" s="63">
        <v>871</v>
      </c>
      <c r="I16" s="63">
        <v>401</v>
      </c>
      <c r="J16" s="63"/>
      <c r="K16" s="63">
        <v>636</v>
      </c>
      <c r="O16" s="21" t="s">
        <v>329</v>
      </c>
      <c r="P16" s="54">
        <v>582</v>
      </c>
      <c r="Q16" s="19"/>
      <c r="R16" s="19"/>
    </row>
    <row r="17" spans="1:16" x14ac:dyDescent="0.25">
      <c r="A17" s="1">
        <v>136</v>
      </c>
      <c r="B17" s="1" t="s">
        <v>330</v>
      </c>
      <c r="C17" s="1">
        <v>2025008</v>
      </c>
      <c r="D17" s="1" t="s">
        <v>300</v>
      </c>
      <c r="E17" s="5">
        <f t="shared" si="0"/>
        <v>1706</v>
      </c>
      <c r="G17" s="5">
        <v>2025017</v>
      </c>
      <c r="H17" s="63">
        <v>994</v>
      </c>
      <c r="I17" s="63">
        <v>343</v>
      </c>
      <c r="J17" s="63"/>
      <c r="K17" s="63">
        <v>668.5</v>
      </c>
      <c r="O17" s="22" t="s">
        <v>331</v>
      </c>
      <c r="P17" s="55">
        <v>3628</v>
      </c>
    </row>
    <row r="18" spans="1:16" x14ac:dyDescent="0.25">
      <c r="A18" s="1">
        <v>143</v>
      </c>
      <c r="B18" s="1" t="s">
        <v>332</v>
      </c>
      <c r="C18" s="1">
        <v>2025009</v>
      </c>
      <c r="D18" s="1" t="s">
        <v>297</v>
      </c>
      <c r="E18" s="5">
        <f t="shared" si="0"/>
        <v>1377</v>
      </c>
      <c r="G18" s="5">
        <v>2025018</v>
      </c>
      <c r="H18" s="63">
        <v>2523</v>
      </c>
      <c r="I18" s="63">
        <v>1219</v>
      </c>
      <c r="J18" s="63"/>
      <c r="K18" s="63">
        <v>1871</v>
      </c>
      <c r="O18" s="22" t="s">
        <v>333</v>
      </c>
      <c r="P18" s="55">
        <v>977</v>
      </c>
    </row>
    <row r="19" spans="1:16" x14ac:dyDescent="0.25">
      <c r="A19" s="1">
        <v>144</v>
      </c>
      <c r="B19" s="1" t="s">
        <v>334</v>
      </c>
      <c r="C19" s="1">
        <v>2025009</v>
      </c>
      <c r="D19" s="1" t="s">
        <v>300</v>
      </c>
      <c r="E19" s="5">
        <f t="shared" si="0"/>
        <v>1864</v>
      </c>
      <c r="G19" s="5">
        <v>2025019</v>
      </c>
      <c r="H19" s="63">
        <v>2695</v>
      </c>
      <c r="I19" s="63">
        <v>1160</v>
      </c>
      <c r="J19" s="63"/>
      <c r="K19" s="63">
        <v>1927.5</v>
      </c>
      <c r="O19" s="22" t="s">
        <v>335</v>
      </c>
      <c r="P19" s="55">
        <v>12</v>
      </c>
    </row>
    <row r="20" spans="1:16" x14ac:dyDescent="0.25">
      <c r="A20" s="1">
        <v>1</v>
      </c>
      <c r="B20" s="1" t="s">
        <v>306</v>
      </c>
      <c r="C20" s="1">
        <v>2025010</v>
      </c>
      <c r="D20" s="1" t="s">
        <v>297</v>
      </c>
      <c r="E20" s="5">
        <f t="shared" si="0"/>
        <v>2797</v>
      </c>
      <c r="G20" s="5">
        <v>2025021</v>
      </c>
      <c r="H20" s="63">
        <v>933</v>
      </c>
      <c r="I20" s="63">
        <v>750</v>
      </c>
      <c r="J20" s="63"/>
      <c r="K20" s="63">
        <v>841.5</v>
      </c>
      <c r="O20" s="22" t="s">
        <v>336</v>
      </c>
      <c r="P20" s="55">
        <v>118</v>
      </c>
    </row>
    <row r="21" spans="1:16" x14ac:dyDescent="0.25">
      <c r="A21" s="1">
        <v>2</v>
      </c>
      <c r="B21" s="1" t="s">
        <v>309</v>
      </c>
      <c r="C21" s="1">
        <v>2025010</v>
      </c>
      <c r="D21" s="1" t="s">
        <v>300</v>
      </c>
      <c r="E21" s="5">
        <f t="shared" si="0"/>
        <v>1048</v>
      </c>
      <c r="G21" s="5">
        <v>2025022</v>
      </c>
      <c r="H21" s="63">
        <v>85</v>
      </c>
      <c r="I21" s="63">
        <v>719</v>
      </c>
      <c r="J21" s="63"/>
      <c r="K21" s="63">
        <v>402</v>
      </c>
      <c r="O21" s="22" t="s">
        <v>337</v>
      </c>
      <c r="P21" s="55" t="s">
        <v>338</v>
      </c>
    </row>
    <row r="22" spans="1:16" x14ac:dyDescent="0.25">
      <c r="A22" s="1">
        <v>13</v>
      </c>
      <c r="B22" s="1" t="s">
        <v>331</v>
      </c>
      <c r="C22" s="1">
        <v>2025011</v>
      </c>
      <c r="D22" s="1" t="s">
        <v>297</v>
      </c>
      <c r="E22" s="5">
        <f t="shared" si="0"/>
        <v>3628</v>
      </c>
      <c r="G22" s="5">
        <v>2025023</v>
      </c>
      <c r="H22" s="63">
        <v>2790</v>
      </c>
      <c r="I22" s="63">
        <v>888</v>
      </c>
      <c r="J22" s="63"/>
      <c r="K22" s="63">
        <v>1839</v>
      </c>
      <c r="O22" s="22" t="s">
        <v>339</v>
      </c>
      <c r="P22" s="55" t="s">
        <v>338</v>
      </c>
    </row>
    <row r="23" spans="1:16" x14ac:dyDescent="0.25">
      <c r="A23" s="1">
        <v>14</v>
      </c>
      <c r="B23" s="1" t="s">
        <v>333</v>
      </c>
      <c r="C23" s="1">
        <v>2025011</v>
      </c>
      <c r="D23" s="1" t="s">
        <v>300</v>
      </c>
      <c r="E23" s="5">
        <f t="shared" si="0"/>
        <v>977</v>
      </c>
      <c r="G23" s="65">
        <v>2025024</v>
      </c>
      <c r="H23" s="64">
        <v>2113</v>
      </c>
      <c r="I23" s="64">
        <v>675</v>
      </c>
      <c r="J23" s="64"/>
      <c r="K23" s="64">
        <v>1394</v>
      </c>
      <c r="O23" s="22" t="s">
        <v>340</v>
      </c>
      <c r="P23" s="55">
        <v>2650</v>
      </c>
    </row>
    <row r="24" spans="1:16" x14ac:dyDescent="0.25">
      <c r="A24" s="1">
        <v>33</v>
      </c>
      <c r="B24" s="1" t="s">
        <v>341</v>
      </c>
      <c r="C24" s="1">
        <v>2025012</v>
      </c>
      <c r="D24" s="1" t="s">
        <v>297</v>
      </c>
      <c r="E24" s="5">
        <f t="shared" si="0"/>
        <v>0</v>
      </c>
      <c r="G24" s="5">
        <v>2025025</v>
      </c>
      <c r="H24" s="63">
        <v>2171</v>
      </c>
      <c r="I24" s="63">
        <v>933</v>
      </c>
      <c r="J24" s="63"/>
      <c r="K24" s="63">
        <v>1552</v>
      </c>
      <c r="O24" s="22" t="s">
        <v>342</v>
      </c>
      <c r="P24" s="55">
        <v>1147</v>
      </c>
    </row>
    <row r="25" spans="1:16" x14ac:dyDescent="0.25">
      <c r="A25" s="1">
        <v>34</v>
      </c>
      <c r="B25" s="1" t="s">
        <v>343</v>
      </c>
      <c r="C25" s="1">
        <v>2025012</v>
      </c>
      <c r="D25" s="1" t="s">
        <v>300</v>
      </c>
      <c r="E25" s="5">
        <f t="shared" si="0"/>
        <v>0</v>
      </c>
      <c r="G25" s="5">
        <v>2025026</v>
      </c>
      <c r="H25" s="63">
        <v>0</v>
      </c>
      <c r="I25" s="63">
        <v>0</v>
      </c>
      <c r="J25" s="63"/>
      <c r="K25" s="63">
        <v>0</v>
      </c>
      <c r="O25" s="22" t="s">
        <v>344</v>
      </c>
      <c r="P25" s="55" t="s">
        <v>338</v>
      </c>
    </row>
    <row r="26" spans="1:16" x14ac:dyDescent="0.25">
      <c r="A26" s="1">
        <v>47</v>
      </c>
      <c r="B26" s="1" t="s">
        <v>345</v>
      </c>
      <c r="C26" s="1">
        <v>2025013</v>
      </c>
      <c r="D26" s="1" t="s">
        <v>297</v>
      </c>
      <c r="E26" s="5">
        <f t="shared" si="0"/>
        <v>1701</v>
      </c>
      <c r="G26" s="5">
        <v>2025027</v>
      </c>
      <c r="H26" s="63">
        <v>39</v>
      </c>
      <c r="I26" s="63">
        <v>161</v>
      </c>
      <c r="J26" s="63"/>
      <c r="K26" s="63">
        <v>100</v>
      </c>
      <c r="O26" s="22" t="s">
        <v>346</v>
      </c>
      <c r="P26" s="55" t="s">
        <v>338</v>
      </c>
    </row>
    <row r="27" spans="1:16" x14ac:dyDescent="0.25">
      <c r="A27" s="1">
        <v>48</v>
      </c>
      <c r="B27" s="1" t="s">
        <v>347</v>
      </c>
      <c r="C27" s="1">
        <v>2025013</v>
      </c>
      <c r="D27" s="1" t="s">
        <v>300</v>
      </c>
      <c r="E27" s="5">
        <f t="shared" si="0"/>
        <v>1821</v>
      </c>
      <c r="G27" s="5">
        <v>2025028</v>
      </c>
      <c r="H27" s="63">
        <v>2715</v>
      </c>
      <c r="I27" s="63">
        <v>1696</v>
      </c>
      <c r="J27" s="63"/>
      <c r="K27" s="63">
        <v>2205.5</v>
      </c>
      <c r="O27" s="22" t="s">
        <v>348</v>
      </c>
      <c r="P27" s="55">
        <v>2564</v>
      </c>
    </row>
    <row r="28" spans="1:16" x14ac:dyDescent="0.25">
      <c r="A28" s="1">
        <v>59</v>
      </c>
      <c r="B28" s="1" t="s">
        <v>349</v>
      </c>
      <c r="C28" s="1">
        <v>2025014</v>
      </c>
      <c r="D28" s="1" t="s">
        <v>297</v>
      </c>
      <c r="E28" s="5">
        <f t="shared" si="0"/>
        <v>0</v>
      </c>
      <c r="G28" s="5">
        <v>2025029</v>
      </c>
      <c r="H28" s="63">
        <v>1294</v>
      </c>
      <c r="I28" s="63">
        <v>454</v>
      </c>
      <c r="J28" s="63"/>
      <c r="K28" s="63">
        <v>874</v>
      </c>
      <c r="O28" s="22" t="s">
        <v>350</v>
      </c>
      <c r="P28" s="55">
        <v>2102</v>
      </c>
    </row>
    <row r="29" spans="1:16" x14ac:dyDescent="0.25">
      <c r="A29" s="1">
        <v>60</v>
      </c>
      <c r="B29" s="1" t="s">
        <v>351</v>
      </c>
      <c r="C29" s="1">
        <v>2025014</v>
      </c>
      <c r="D29" s="1" t="s">
        <v>300</v>
      </c>
      <c r="E29" s="5">
        <f t="shared" si="0"/>
        <v>0</v>
      </c>
      <c r="G29" s="5">
        <v>2025030</v>
      </c>
      <c r="H29" s="63">
        <v>228</v>
      </c>
      <c r="I29" s="63">
        <v>191</v>
      </c>
      <c r="J29" s="63"/>
      <c r="K29" s="63">
        <v>209.5</v>
      </c>
      <c r="O29" s="22" t="s">
        <v>352</v>
      </c>
      <c r="P29" s="55">
        <v>1891</v>
      </c>
    </row>
    <row r="30" spans="1:16" x14ac:dyDescent="0.25">
      <c r="A30" s="1">
        <v>65</v>
      </c>
      <c r="B30" s="1" t="s">
        <v>353</v>
      </c>
      <c r="C30" s="1">
        <v>2025015</v>
      </c>
      <c r="D30" s="1" t="s">
        <v>297</v>
      </c>
      <c r="E30" s="5">
        <f t="shared" si="0"/>
        <v>31</v>
      </c>
      <c r="G30" s="5">
        <v>2025031</v>
      </c>
      <c r="H30" s="63">
        <v>0</v>
      </c>
      <c r="I30" s="63">
        <v>0</v>
      </c>
      <c r="J30" s="63"/>
      <c r="K30" s="63">
        <v>0</v>
      </c>
      <c r="O30" s="22" t="s">
        <v>354</v>
      </c>
      <c r="P30" s="55">
        <v>891</v>
      </c>
    </row>
    <row r="31" spans="1:16" x14ac:dyDescent="0.25">
      <c r="A31" s="1">
        <v>66</v>
      </c>
      <c r="B31" s="1" t="s">
        <v>355</v>
      </c>
      <c r="C31" s="1">
        <v>2025015</v>
      </c>
      <c r="D31" s="1" t="s">
        <v>300</v>
      </c>
      <c r="E31" s="5">
        <f t="shared" si="0"/>
        <v>189</v>
      </c>
      <c r="G31" s="5">
        <v>2025034</v>
      </c>
      <c r="H31" s="63">
        <v>0</v>
      </c>
      <c r="I31" s="63">
        <v>0</v>
      </c>
      <c r="J31" s="63"/>
      <c r="K31" s="63">
        <v>0</v>
      </c>
      <c r="O31" s="22" t="s">
        <v>356</v>
      </c>
      <c r="P31" s="55">
        <v>2057</v>
      </c>
    </row>
    <row r="32" spans="1:16" x14ac:dyDescent="0.25">
      <c r="A32" s="1">
        <v>67</v>
      </c>
      <c r="B32" s="1" t="s">
        <v>357</v>
      </c>
      <c r="C32" s="1">
        <v>2025016</v>
      </c>
      <c r="D32" s="1" t="s">
        <v>297</v>
      </c>
      <c r="E32" s="5">
        <f t="shared" si="0"/>
        <v>871</v>
      </c>
      <c r="G32" s="5">
        <v>2025035</v>
      </c>
      <c r="H32" s="63">
        <v>206.02</v>
      </c>
      <c r="I32" s="63">
        <v>212.4</v>
      </c>
      <c r="J32" s="63"/>
      <c r="K32" s="63">
        <v>209.21</v>
      </c>
      <c r="O32" s="22" t="s">
        <v>358</v>
      </c>
      <c r="P32" s="55">
        <v>1686</v>
      </c>
    </row>
    <row r="33" spans="1:16" x14ac:dyDescent="0.25">
      <c r="A33" s="1">
        <v>68</v>
      </c>
      <c r="B33" s="1" t="s">
        <v>359</v>
      </c>
      <c r="C33" s="1">
        <v>2025016</v>
      </c>
      <c r="D33" s="1" t="s">
        <v>300</v>
      </c>
      <c r="E33" s="5">
        <f t="shared" si="0"/>
        <v>401</v>
      </c>
      <c r="G33" s="5">
        <v>2025036</v>
      </c>
      <c r="H33" s="63">
        <v>645</v>
      </c>
      <c r="I33" s="63">
        <v>607</v>
      </c>
      <c r="J33" s="63"/>
      <c r="K33" s="63">
        <v>626</v>
      </c>
      <c r="O33" s="22" t="s">
        <v>360</v>
      </c>
      <c r="P33" s="55">
        <v>926</v>
      </c>
    </row>
    <row r="34" spans="1:16" x14ac:dyDescent="0.25">
      <c r="A34" s="1">
        <v>69</v>
      </c>
      <c r="B34" s="1" t="s">
        <v>361</v>
      </c>
      <c r="C34" s="1">
        <v>2025017</v>
      </c>
      <c r="D34" s="1" t="s">
        <v>297</v>
      </c>
      <c r="E34" s="5">
        <f t="shared" si="0"/>
        <v>994</v>
      </c>
      <c r="G34" s="5">
        <v>2025037</v>
      </c>
      <c r="H34" s="63">
        <v>1871</v>
      </c>
      <c r="I34" s="63">
        <v>1585</v>
      </c>
      <c r="J34" s="63"/>
      <c r="K34" s="63">
        <v>1728</v>
      </c>
      <c r="O34" s="22" t="s">
        <v>362</v>
      </c>
      <c r="P34" s="55">
        <v>1187</v>
      </c>
    </row>
    <row r="35" spans="1:16" x14ac:dyDescent="0.25">
      <c r="A35" s="1">
        <v>70</v>
      </c>
      <c r="B35" s="1" t="s">
        <v>363</v>
      </c>
      <c r="C35" s="1">
        <v>2025017</v>
      </c>
      <c r="D35" s="1" t="s">
        <v>300</v>
      </c>
      <c r="E35" s="5">
        <f t="shared" si="0"/>
        <v>343</v>
      </c>
      <c r="G35" s="5">
        <v>2025038</v>
      </c>
      <c r="H35" s="63">
        <v>1642</v>
      </c>
      <c r="I35" s="63">
        <v>1381</v>
      </c>
      <c r="J35" s="63"/>
      <c r="K35" s="63">
        <v>1511.5</v>
      </c>
      <c r="O35" s="22" t="s">
        <v>364</v>
      </c>
      <c r="P35" s="55">
        <v>2434</v>
      </c>
    </row>
    <row r="36" spans="1:16" x14ac:dyDescent="0.25">
      <c r="A36" s="1">
        <v>71</v>
      </c>
      <c r="B36" s="1" t="s">
        <v>365</v>
      </c>
      <c r="C36" s="1">
        <v>2025018</v>
      </c>
      <c r="D36" s="1" t="s">
        <v>297</v>
      </c>
      <c r="E36" s="5">
        <f t="shared" si="0"/>
        <v>2523</v>
      </c>
      <c r="G36" s="5">
        <v>2025040</v>
      </c>
      <c r="H36" s="63">
        <v>0</v>
      </c>
      <c r="I36" s="63">
        <v>0</v>
      </c>
      <c r="J36" s="63"/>
      <c r="K36" s="63">
        <v>0</v>
      </c>
      <c r="O36" s="22" t="s">
        <v>366</v>
      </c>
      <c r="P36" s="55">
        <v>1076</v>
      </c>
    </row>
    <row r="37" spans="1:16" x14ac:dyDescent="0.25">
      <c r="A37" s="1">
        <v>72</v>
      </c>
      <c r="B37" s="1" t="s">
        <v>367</v>
      </c>
      <c r="C37" s="1">
        <v>2025018</v>
      </c>
      <c r="D37" s="1" t="s">
        <v>300</v>
      </c>
      <c r="E37" s="5">
        <f t="shared" si="0"/>
        <v>1219</v>
      </c>
      <c r="G37" s="5">
        <v>2025081</v>
      </c>
      <c r="H37" s="63">
        <v>2745</v>
      </c>
      <c r="I37" s="63">
        <v>1244</v>
      </c>
      <c r="J37" s="63"/>
      <c r="K37" s="63">
        <v>1994.5</v>
      </c>
      <c r="O37" s="21" t="s">
        <v>341</v>
      </c>
      <c r="P37" s="54" t="s">
        <v>338</v>
      </c>
    </row>
    <row r="38" spans="1:16" x14ac:dyDescent="0.25">
      <c r="A38" s="1">
        <v>73</v>
      </c>
      <c r="B38" s="1" t="s">
        <v>368</v>
      </c>
      <c r="C38" s="1">
        <v>2025019</v>
      </c>
      <c r="D38" s="1" t="s">
        <v>297</v>
      </c>
      <c r="E38" s="5">
        <f t="shared" si="0"/>
        <v>2695</v>
      </c>
      <c r="G38" s="5">
        <v>2025082</v>
      </c>
      <c r="H38" s="63">
        <v>400</v>
      </c>
      <c r="I38" s="63">
        <v>338</v>
      </c>
      <c r="J38" s="63"/>
      <c r="K38" s="63">
        <v>369</v>
      </c>
      <c r="O38" s="21" t="s">
        <v>343</v>
      </c>
      <c r="P38" s="54" t="s">
        <v>338</v>
      </c>
    </row>
    <row r="39" spans="1:16" x14ac:dyDescent="0.25">
      <c r="A39" s="1">
        <v>74</v>
      </c>
      <c r="B39" s="1" t="s">
        <v>369</v>
      </c>
      <c r="C39" s="1">
        <v>2025019</v>
      </c>
      <c r="D39" s="1" t="s">
        <v>300</v>
      </c>
      <c r="E39" s="5">
        <f t="shared" si="0"/>
        <v>1160</v>
      </c>
      <c r="G39" s="5">
        <v>2025084</v>
      </c>
      <c r="H39" s="63">
        <v>1514</v>
      </c>
      <c r="I39" s="63">
        <v>556</v>
      </c>
      <c r="J39" s="63"/>
      <c r="K39" s="63">
        <v>1035</v>
      </c>
      <c r="O39" s="22" t="s">
        <v>370</v>
      </c>
      <c r="P39" s="55" t="s">
        <v>338</v>
      </c>
    </row>
    <row r="40" spans="1:16" x14ac:dyDescent="0.25">
      <c r="A40" s="1">
        <v>153</v>
      </c>
      <c r="C40" s="6">
        <v>2025020</v>
      </c>
      <c r="D40" s="6" t="s">
        <v>297</v>
      </c>
      <c r="E40" s="5">
        <f t="shared" si="0"/>
        <v>0</v>
      </c>
      <c r="F40" s="5" t="s">
        <v>298</v>
      </c>
      <c r="G40" s="5">
        <v>2025085</v>
      </c>
      <c r="H40" s="63">
        <v>2566</v>
      </c>
      <c r="I40" s="63">
        <v>1512</v>
      </c>
      <c r="J40" s="63"/>
      <c r="K40" s="63">
        <v>2039</v>
      </c>
      <c r="O40" s="22" t="s">
        <v>371</v>
      </c>
      <c r="P40" s="55">
        <v>125</v>
      </c>
    </row>
    <row r="41" spans="1:16" x14ac:dyDescent="0.25">
      <c r="A41" s="1">
        <v>154</v>
      </c>
      <c r="C41" s="6">
        <v>2025020</v>
      </c>
      <c r="D41" s="6" t="s">
        <v>300</v>
      </c>
      <c r="E41" s="5">
        <f t="shared" si="0"/>
        <v>0</v>
      </c>
      <c r="F41" s="5" t="s">
        <v>298</v>
      </c>
      <c r="G41" s="5">
        <v>2025086</v>
      </c>
      <c r="H41" s="63">
        <v>3538</v>
      </c>
      <c r="I41" s="63">
        <v>2263</v>
      </c>
      <c r="J41" s="63"/>
      <c r="K41" s="63">
        <v>2900.5</v>
      </c>
      <c r="O41" s="22" t="s">
        <v>372</v>
      </c>
      <c r="P41" s="55">
        <v>821</v>
      </c>
    </row>
    <row r="42" spans="1:16" x14ac:dyDescent="0.25">
      <c r="A42" s="1">
        <v>75</v>
      </c>
      <c r="B42" s="1" t="s">
        <v>373</v>
      </c>
      <c r="C42" s="1">
        <v>2025021</v>
      </c>
      <c r="D42" s="1" t="s">
        <v>297</v>
      </c>
      <c r="E42" s="5">
        <f t="shared" si="0"/>
        <v>933</v>
      </c>
      <c r="G42" s="5">
        <v>2025087</v>
      </c>
      <c r="H42" s="63">
        <v>1780</v>
      </c>
      <c r="I42" s="63">
        <v>1728</v>
      </c>
      <c r="J42" s="63"/>
      <c r="K42" s="63">
        <v>1754</v>
      </c>
      <c r="O42" s="22" t="s">
        <v>374</v>
      </c>
      <c r="P42" s="55">
        <v>561</v>
      </c>
    </row>
    <row r="43" spans="1:16" x14ac:dyDescent="0.25">
      <c r="A43" s="1">
        <v>76</v>
      </c>
      <c r="B43" s="1" t="s">
        <v>375</v>
      </c>
      <c r="C43" s="1">
        <v>2025021</v>
      </c>
      <c r="D43" s="1" t="s">
        <v>300</v>
      </c>
      <c r="E43" s="5">
        <f t="shared" si="0"/>
        <v>750</v>
      </c>
      <c r="G43" s="5">
        <v>2025088</v>
      </c>
      <c r="H43" s="63">
        <v>3113</v>
      </c>
      <c r="I43" s="63">
        <v>899</v>
      </c>
      <c r="J43" s="63"/>
      <c r="K43" s="63">
        <v>2006</v>
      </c>
      <c r="O43" s="22" t="s">
        <v>376</v>
      </c>
      <c r="P43" s="55">
        <v>951</v>
      </c>
    </row>
    <row r="44" spans="1:16" x14ac:dyDescent="0.25">
      <c r="A44" s="1">
        <v>77</v>
      </c>
      <c r="B44" s="1" t="s">
        <v>377</v>
      </c>
      <c r="C44" s="1">
        <v>2025022</v>
      </c>
      <c r="D44" s="1" t="s">
        <v>297</v>
      </c>
      <c r="E44" s="5">
        <f t="shared" si="0"/>
        <v>85</v>
      </c>
      <c r="G44" s="5">
        <v>2025089</v>
      </c>
      <c r="H44" s="63">
        <v>857</v>
      </c>
      <c r="I44" s="63">
        <v>705</v>
      </c>
      <c r="J44" s="63"/>
      <c r="K44" s="63">
        <v>781</v>
      </c>
      <c r="O44" s="22" t="s">
        <v>378</v>
      </c>
      <c r="P44" s="55">
        <f>578-4.5</f>
        <v>573.5</v>
      </c>
    </row>
    <row r="45" spans="1:16" x14ac:dyDescent="0.25">
      <c r="A45" s="1">
        <v>78</v>
      </c>
      <c r="B45" s="1" t="s">
        <v>379</v>
      </c>
      <c r="C45" s="1">
        <v>2025022</v>
      </c>
      <c r="D45" s="1" t="s">
        <v>300</v>
      </c>
      <c r="E45" s="5">
        <f t="shared" si="0"/>
        <v>719</v>
      </c>
      <c r="G45" s="5">
        <v>2025091</v>
      </c>
      <c r="H45" s="63">
        <v>1230</v>
      </c>
      <c r="I45" s="63">
        <v>990</v>
      </c>
      <c r="J45" s="63"/>
      <c r="K45" s="63">
        <v>1110</v>
      </c>
      <c r="O45" s="22" t="s">
        <v>380</v>
      </c>
      <c r="P45" s="55">
        <v>12</v>
      </c>
    </row>
    <row r="46" spans="1:16" x14ac:dyDescent="0.25">
      <c r="A46" s="1">
        <v>79</v>
      </c>
      <c r="B46" s="1" t="s">
        <v>381</v>
      </c>
      <c r="C46" s="1">
        <v>2025023</v>
      </c>
      <c r="D46" s="1" t="s">
        <v>297</v>
      </c>
      <c r="E46" s="5">
        <f t="shared" si="0"/>
        <v>2790</v>
      </c>
      <c r="G46" s="5">
        <v>2025092</v>
      </c>
      <c r="H46" s="63">
        <v>992</v>
      </c>
      <c r="I46" s="63">
        <v>377</v>
      </c>
      <c r="J46" s="63"/>
      <c r="K46" s="63">
        <v>684.5</v>
      </c>
      <c r="O46" s="22" t="s">
        <v>382</v>
      </c>
      <c r="P46" s="55" t="s">
        <v>338</v>
      </c>
    </row>
    <row r="47" spans="1:16" x14ac:dyDescent="0.25">
      <c r="A47" s="1">
        <v>80</v>
      </c>
      <c r="B47" s="1" t="s">
        <v>383</v>
      </c>
      <c r="C47" s="1">
        <v>2025023</v>
      </c>
      <c r="D47" s="1" t="s">
        <v>300</v>
      </c>
      <c r="E47" s="5">
        <f t="shared" si="0"/>
        <v>888</v>
      </c>
      <c r="G47" s="5">
        <v>2025093</v>
      </c>
      <c r="H47" s="63">
        <v>1076</v>
      </c>
      <c r="I47" s="63">
        <v>803</v>
      </c>
      <c r="J47" s="63"/>
      <c r="K47" s="63">
        <v>939.5</v>
      </c>
      <c r="O47" s="22" t="s">
        <v>384</v>
      </c>
      <c r="P47" s="55">
        <v>1476</v>
      </c>
    </row>
    <row r="48" spans="1:16" x14ac:dyDescent="0.25">
      <c r="A48" s="1">
        <v>81</v>
      </c>
      <c r="B48" s="1" t="s">
        <v>385</v>
      </c>
      <c r="C48" s="1">
        <v>2025024</v>
      </c>
      <c r="D48" s="1" t="s">
        <v>297</v>
      </c>
      <c r="E48" s="5">
        <f t="shared" si="0"/>
        <v>2113</v>
      </c>
      <c r="G48" s="5">
        <v>2025113</v>
      </c>
      <c r="H48" s="63">
        <v>1876</v>
      </c>
      <c r="I48" s="63">
        <v>608</v>
      </c>
      <c r="J48" s="63"/>
      <c r="K48" s="63">
        <v>1242</v>
      </c>
      <c r="O48" s="22" t="s">
        <v>386</v>
      </c>
      <c r="P48" s="55">
        <v>1194</v>
      </c>
    </row>
    <row r="49" spans="1:16" x14ac:dyDescent="0.25">
      <c r="A49" s="1">
        <v>82</v>
      </c>
      <c r="B49" s="1" t="s">
        <v>387</v>
      </c>
      <c r="C49" s="1">
        <v>2025024</v>
      </c>
      <c r="D49" s="1" t="s">
        <v>300</v>
      </c>
      <c r="E49" s="5">
        <f t="shared" si="0"/>
        <v>675</v>
      </c>
      <c r="G49" s="5">
        <v>2025115</v>
      </c>
      <c r="H49" s="63">
        <v>3975.8</v>
      </c>
      <c r="I49" s="63">
        <v>2080</v>
      </c>
      <c r="J49" s="63"/>
      <c r="K49" s="63">
        <v>3027.9</v>
      </c>
      <c r="O49" s="22" t="s">
        <v>388</v>
      </c>
      <c r="P49" s="55">
        <v>1220</v>
      </c>
    </row>
    <row r="50" spans="1:16" x14ac:dyDescent="0.25">
      <c r="A50" s="1">
        <v>83</v>
      </c>
      <c r="B50" s="1" t="s">
        <v>389</v>
      </c>
      <c r="C50" s="1">
        <v>2025025</v>
      </c>
      <c r="D50" s="1" t="s">
        <v>297</v>
      </c>
      <c r="E50" s="5">
        <f t="shared" si="0"/>
        <v>2171</v>
      </c>
      <c r="G50" s="5">
        <v>2025116</v>
      </c>
      <c r="H50" s="63">
        <v>3531</v>
      </c>
      <c r="I50" s="63">
        <v>2364</v>
      </c>
      <c r="J50" s="63"/>
      <c r="K50" s="63">
        <v>2947.5</v>
      </c>
      <c r="O50" s="22" t="s">
        <v>390</v>
      </c>
      <c r="P50" s="55">
        <v>2529</v>
      </c>
    </row>
    <row r="51" spans="1:16" x14ac:dyDescent="0.25">
      <c r="A51" s="1">
        <v>84</v>
      </c>
      <c r="B51" s="1" t="s">
        <v>391</v>
      </c>
      <c r="C51" s="1">
        <v>2025025</v>
      </c>
      <c r="D51" s="1" t="s">
        <v>300</v>
      </c>
      <c r="E51" s="5">
        <f t="shared" si="0"/>
        <v>933</v>
      </c>
      <c r="G51" s="5">
        <v>2025117</v>
      </c>
      <c r="H51" s="63">
        <v>750</v>
      </c>
      <c r="I51" s="63">
        <v>345</v>
      </c>
      <c r="J51" s="63"/>
      <c r="K51" s="63">
        <v>547.5</v>
      </c>
      <c r="O51" s="23" t="s">
        <v>345</v>
      </c>
      <c r="P51" s="56">
        <v>1701</v>
      </c>
    </row>
    <row r="52" spans="1:16" x14ac:dyDescent="0.25">
      <c r="A52" s="1">
        <v>85</v>
      </c>
      <c r="B52" s="1" t="s">
        <v>392</v>
      </c>
      <c r="C52" s="1">
        <v>2025026</v>
      </c>
      <c r="D52" s="1" t="s">
        <v>297</v>
      </c>
      <c r="E52" s="5">
        <f t="shared" si="0"/>
        <v>0</v>
      </c>
      <c r="G52" s="5">
        <v>2025119</v>
      </c>
      <c r="H52" s="63">
        <v>754</v>
      </c>
      <c r="I52" s="63">
        <v>582</v>
      </c>
      <c r="J52" s="63"/>
      <c r="K52" s="63">
        <v>668</v>
      </c>
      <c r="O52" s="23" t="s">
        <v>347</v>
      </c>
      <c r="P52" s="56">
        <v>1821</v>
      </c>
    </row>
    <row r="53" spans="1:16" x14ac:dyDescent="0.25">
      <c r="A53" s="1">
        <v>86</v>
      </c>
      <c r="B53" s="1" t="s">
        <v>393</v>
      </c>
      <c r="C53" s="1">
        <v>2025026</v>
      </c>
      <c r="D53" s="1" t="s">
        <v>300</v>
      </c>
      <c r="E53" s="5">
        <f t="shared" si="0"/>
        <v>0</v>
      </c>
      <c r="G53" s="5">
        <v>2025120</v>
      </c>
      <c r="H53" s="63">
        <v>12</v>
      </c>
      <c r="I53" s="63">
        <v>118</v>
      </c>
      <c r="J53" s="63"/>
      <c r="K53" s="63">
        <v>65</v>
      </c>
      <c r="O53" s="22" t="s">
        <v>394</v>
      </c>
      <c r="P53" s="55">
        <v>1415</v>
      </c>
    </row>
    <row r="54" spans="1:16" x14ac:dyDescent="0.25">
      <c r="A54" s="1">
        <v>87</v>
      </c>
      <c r="B54" s="1" t="s">
        <v>395</v>
      </c>
      <c r="C54" s="1">
        <v>2025027</v>
      </c>
      <c r="D54" s="1" t="s">
        <v>297</v>
      </c>
      <c r="E54" s="5">
        <f t="shared" si="0"/>
        <v>39</v>
      </c>
      <c r="G54" s="5">
        <v>2025121</v>
      </c>
      <c r="H54" s="63">
        <v>0</v>
      </c>
      <c r="I54" s="63">
        <v>0</v>
      </c>
      <c r="J54" s="63"/>
      <c r="K54" s="63">
        <v>0</v>
      </c>
      <c r="O54" s="22" t="s">
        <v>396</v>
      </c>
      <c r="P54" s="55">
        <v>833</v>
      </c>
    </row>
    <row r="55" spans="1:16" x14ac:dyDescent="0.25">
      <c r="A55" s="1">
        <v>88</v>
      </c>
      <c r="B55" s="1" t="s">
        <v>397</v>
      </c>
      <c r="C55" s="1">
        <v>2025027</v>
      </c>
      <c r="D55" s="1" t="s">
        <v>300</v>
      </c>
      <c r="E55" s="5">
        <f t="shared" si="0"/>
        <v>161</v>
      </c>
      <c r="G55" s="5">
        <v>2025122</v>
      </c>
      <c r="H55" s="63">
        <v>2650</v>
      </c>
      <c r="I55" s="63">
        <v>1147</v>
      </c>
      <c r="J55" s="63"/>
      <c r="K55" s="63">
        <v>1898.5</v>
      </c>
      <c r="O55" s="22" t="s">
        <v>398</v>
      </c>
      <c r="P55" s="55">
        <v>1552</v>
      </c>
    </row>
    <row r="56" spans="1:16" x14ac:dyDescent="0.25">
      <c r="A56" s="1">
        <v>89</v>
      </c>
      <c r="B56" s="1" t="s">
        <v>399</v>
      </c>
      <c r="C56" s="1">
        <v>2025028</v>
      </c>
      <c r="D56" s="1" t="s">
        <v>297</v>
      </c>
      <c r="E56" s="5">
        <f t="shared" si="0"/>
        <v>2715</v>
      </c>
      <c r="G56" s="5">
        <v>2025123</v>
      </c>
      <c r="H56" s="63">
        <v>0</v>
      </c>
      <c r="I56" s="63">
        <v>0</v>
      </c>
      <c r="J56" s="63"/>
      <c r="K56" s="63">
        <v>0</v>
      </c>
      <c r="O56" s="22" t="s">
        <v>400</v>
      </c>
      <c r="P56" s="55">
        <v>561</v>
      </c>
    </row>
    <row r="57" spans="1:16" x14ac:dyDescent="0.25">
      <c r="A57" s="1">
        <v>90</v>
      </c>
      <c r="B57" s="1" t="s">
        <v>401</v>
      </c>
      <c r="C57" s="1">
        <v>2025028</v>
      </c>
      <c r="D57" s="1" t="s">
        <v>300</v>
      </c>
      <c r="E57" s="5">
        <f t="shared" si="0"/>
        <v>1696</v>
      </c>
      <c r="G57" s="5">
        <v>2025124</v>
      </c>
      <c r="H57" s="63">
        <v>2564</v>
      </c>
      <c r="I57" s="63">
        <v>2102</v>
      </c>
      <c r="J57" s="63"/>
      <c r="K57" s="63">
        <v>2333</v>
      </c>
      <c r="O57" s="22" t="s">
        <v>402</v>
      </c>
      <c r="P57" s="55">
        <v>2799</v>
      </c>
    </row>
    <row r="58" spans="1:16" x14ac:dyDescent="0.25">
      <c r="A58" s="1">
        <v>91</v>
      </c>
      <c r="B58" s="1" t="s">
        <v>403</v>
      </c>
      <c r="C58" s="1">
        <v>2025029</v>
      </c>
      <c r="D58" s="1" t="s">
        <v>297</v>
      </c>
      <c r="E58" s="5">
        <f t="shared" si="0"/>
        <v>1294</v>
      </c>
      <c r="G58" s="5">
        <v>2025125</v>
      </c>
      <c r="H58" s="63">
        <v>1891</v>
      </c>
      <c r="I58" s="63">
        <v>891</v>
      </c>
      <c r="J58" s="63"/>
      <c r="K58" s="63">
        <v>1391</v>
      </c>
      <c r="O58" s="22" t="s">
        <v>404</v>
      </c>
      <c r="P58" s="55">
        <v>1299</v>
      </c>
    </row>
    <row r="59" spans="1:16" x14ac:dyDescent="0.25">
      <c r="A59" s="1">
        <v>92</v>
      </c>
      <c r="B59" s="1" t="s">
        <v>405</v>
      </c>
      <c r="C59" s="1">
        <v>2025029</v>
      </c>
      <c r="D59" s="1" t="s">
        <v>300</v>
      </c>
      <c r="E59" s="5">
        <f t="shared" si="0"/>
        <v>454</v>
      </c>
      <c r="G59" s="5">
        <v>2025126</v>
      </c>
      <c r="H59" s="63">
        <v>2057</v>
      </c>
      <c r="I59" s="63">
        <v>1686</v>
      </c>
      <c r="J59" s="63"/>
      <c r="K59" s="63">
        <v>1871.5</v>
      </c>
      <c r="O59" s="22" t="s">
        <v>406</v>
      </c>
      <c r="P59" s="55">
        <v>392</v>
      </c>
    </row>
    <row r="60" spans="1:16" x14ac:dyDescent="0.25">
      <c r="A60" s="1">
        <v>93</v>
      </c>
      <c r="B60" s="1" t="s">
        <v>407</v>
      </c>
      <c r="C60" s="1">
        <v>2025030</v>
      </c>
      <c r="D60" s="1" t="s">
        <v>297</v>
      </c>
      <c r="E60" s="5">
        <f t="shared" si="0"/>
        <v>228</v>
      </c>
      <c r="G60" s="5">
        <v>2025127</v>
      </c>
      <c r="H60" s="63">
        <v>926</v>
      </c>
      <c r="I60" s="63">
        <v>1187</v>
      </c>
      <c r="J60" s="63"/>
      <c r="K60" s="63">
        <v>1056.5</v>
      </c>
      <c r="O60" s="22" t="s">
        <v>408</v>
      </c>
      <c r="P60" s="55">
        <v>156</v>
      </c>
    </row>
    <row r="61" spans="1:16" x14ac:dyDescent="0.25">
      <c r="A61" s="1">
        <v>94</v>
      </c>
      <c r="B61" s="1" t="s">
        <v>409</v>
      </c>
      <c r="C61" s="1">
        <v>2025030</v>
      </c>
      <c r="D61" s="1" t="s">
        <v>300</v>
      </c>
      <c r="E61" s="5">
        <f t="shared" si="0"/>
        <v>191</v>
      </c>
      <c r="G61" s="5">
        <v>2025128</v>
      </c>
      <c r="H61" s="63">
        <v>2434</v>
      </c>
      <c r="I61" s="63">
        <v>1076</v>
      </c>
      <c r="J61" s="63"/>
      <c r="K61" s="63">
        <v>1755</v>
      </c>
      <c r="O61" s="22" t="s">
        <v>410</v>
      </c>
      <c r="P61" s="55">
        <v>465</v>
      </c>
    </row>
    <row r="62" spans="1:16" x14ac:dyDescent="0.25">
      <c r="A62" s="1">
        <v>95</v>
      </c>
      <c r="B62" s="1" t="s">
        <v>411</v>
      </c>
      <c r="C62" s="1">
        <v>2025031</v>
      </c>
      <c r="D62" s="1" t="s">
        <v>297</v>
      </c>
      <c r="E62" s="5">
        <f t="shared" si="0"/>
        <v>0</v>
      </c>
      <c r="G62" s="5">
        <v>2025130</v>
      </c>
      <c r="H62" s="63">
        <v>0</v>
      </c>
      <c r="I62" s="63">
        <v>125</v>
      </c>
      <c r="J62" s="63"/>
      <c r="K62" s="63">
        <v>62.5</v>
      </c>
      <c r="O62" s="22" t="s">
        <v>412</v>
      </c>
      <c r="P62" s="55">
        <v>1025</v>
      </c>
    </row>
    <row r="63" spans="1:16" x14ac:dyDescent="0.25">
      <c r="A63" s="1">
        <v>96</v>
      </c>
      <c r="B63" s="1" t="s">
        <v>413</v>
      </c>
      <c r="C63" s="1">
        <v>2025031</v>
      </c>
      <c r="D63" s="1" t="s">
        <v>300</v>
      </c>
      <c r="E63" s="5">
        <f t="shared" si="0"/>
        <v>0</v>
      </c>
      <c r="G63" s="5">
        <v>2025132</v>
      </c>
      <c r="H63" s="63">
        <v>821</v>
      </c>
      <c r="I63" s="63">
        <v>561</v>
      </c>
      <c r="J63" s="63"/>
      <c r="K63" s="63">
        <v>691</v>
      </c>
      <c r="O63" s="21" t="s">
        <v>349</v>
      </c>
      <c r="P63" s="54" t="s">
        <v>338</v>
      </c>
    </row>
    <row r="64" spans="1:16" x14ac:dyDescent="0.25">
      <c r="A64" s="1">
        <v>145</v>
      </c>
      <c r="C64" s="6">
        <v>2025032</v>
      </c>
      <c r="D64" s="6" t="s">
        <v>297</v>
      </c>
      <c r="E64" s="5">
        <f t="shared" si="0"/>
        <v>0</v>
      </c>
      <c r="G64" s="5">
        <v>2025133</v>
      </c>
      <c r="H64" s="63">
        <v>951</v>
      </c>
      <c r="I64" s="63">
        <v>573.5</v>
      </c>
      <c r="J64" s="63"/>
      <c r="K64" s="63">
        <v>762.25</v>
      </c>
      <c r="O64" s="21" t="s">
        <v>351</v>
      </c>
      <c r="P64" s="54" t="s">
        <v>338</v>
      </c>
    </row>
    <row r="65" spans="1:16" x14ac:dyDescent="0.25">
      <c r="A65" s="1">
        <v>146</v>
      </c>
      <c r="C65" s="6">
        <v>2025032</v>
      </c>
      <c r="D65" s="6" t="s">
        <v>300</v>
      </c>
      <c r="E65" s="5">
        <f t="shared" si="0"/>
        <v>0</v>
      </c>
      <c r="G65" s="5">
        <v>2025134</v>
      </c>
      <c r="H65" s="63">
        <v>12</v>
      </c>
      <c r="I65" s="63">
        <v>0</v>
      </c>
      <c r="J65" s="63"/>
      <c r="K65" s="63">
        <v>6</v>
      </c>
      <c r="O65" s="22" t="s">
        <v>414</v>
      </c>
      <c r="P65" s="55">
        <v>931</v>
      </c>
    </row>
    <row r="66" spans="1:16" x14ac:dyDescent="0.25">
      <c r="A66" s="1">
        <v>147</v>
      </c>
      <c r="C66" s="6">
        <v>2025033</v>
      </c>
      <c r="D66" s="6" t="s">
        <v>297</v>
      </c>
      <c r="E66" s="5">
        <f t="shared" ref="E66:E129" si="1">IFERROR(IF(VLOOKUP(B66,$O$5:$P$148,2) = "empty", 0, VLOOKUP(B66,$O$5:$P$148,2)), 0)</f>
        <v>0</v>
      </c>
      <c r="G66" s="5">
        <v>2025137</v>
      </c>
      <c r="H66" s="63">
        <v>1476</v>
      </c>
      <c r="I66" s="63">
        <v>1194</v>
      </c>
      <c r="J66" s="63"/>
      <c r="K66" s="63">
        <v>1335</v>
      </c>
      <c r="O66" s="22" t="s">
        <v>415</v>
      </c>
      <c r="P66" s="55">
        <v>712</v>
      </c>
    </row>
    <row r="67" spans="1:16" x14ac:dyDescent="0.25">
      <c r="A67" s="1">
        <v>148</v>
      </c>
      <c r="C67" s="6">
        <v>2025033</v>
      </c>
      <c r="D67" s="6" t="s">
        <v>300</v>
      </c>
      <c r="E67" s="5">
        <f t="shared" si="1"/>
        <v>0</v>
      </c>
      <c r="G67" s="5">
        <v>2025138</v>
      </c>
      <c r="H67" s="63">
        <v>1220</v>
      </c>
      <c r="I67" s="63">
        <v>2529</v>
      </c>
      <c r="J67" s="63"/>
      <c r="K67" s="63">
        <v>1874.5</v>
      </c>
      <c r="O67" s="22" t="s">
        <v>416</v>
      </c>
      <c r="P67" s="55">
        <v>510</v>
      </c>
    </row>
    <row r="68" spans="1:16" x14ac:dyDescent="0.25">
      <c r="A68" s="1">
        <v>97</v>
      </c>
      <c r="B68" s="1" t="s">
        <v>417</v>
      </c>
      <c r="C68" s="1">
        <v>2025034</v>
      </c>
      <c r="D68" s="1" t="s">
        <v>297</v>
      </c>
      <c r="E68" s="5">
        <f t="shared" si="1"/>
        <v>0</v>
      </c>
      <c r="G68" s="5">
        <v>2025140</v>
      </c>
      <c r="H68" s="63">
        <v>1415</v>
      </c>
      <c r="I68" s="63">
        <v>833</v>
      </c>
      <c r="J68" s="63"/>
      <c r="K68" s="63">
        <v>1124</v>
      </c>
      <c r="O68" s="22" t="s">
        <v>418</v>
      </c>
      <c r="P68" s="55">
        <v>557</v>
      </c>
    </row>
    <row r="69" spans="1:16" x14ac:dyDescent="0.25">
      <c r="A69" s="1">
        <v>98</v>
      </c>
      <c r="B69" s="1" t="s">
        <v>419</v>
      </c>
      <c r="C69" s="1">
        <v>2025034</v>
      </c>
      <c r="D69" s="1" t="s">
        <v>300</v>
      </c>
      <c r="E69" s="5">
        <f t="shared" si="1"/>
        <v>0</v>
      </c>
      <c r="G69" s="5">
        <v>2025141</v>
      </c>
      <c r="H69" s="63">
        <v>1552</v>
      </c>
      <c r="I69" s="63">
        <v>561</v>
      </c>
      <c r="J69" s="63"/>
      <c r="K69" s="63">
        <v>1056.5</v>
      </c>
      <c r="O69" s="23" t="s">
        <v>353</v>
      </c>
      <c r="P69" s="56">
        <v>31</v>
      </c>
    </row>
    <row r="70" spans="1:16" x14ac:dyDescent="0.25">
      <c r="A70" s="1">
        <v>99</v>
      </c>
      <c r="B70" s="1" t="s">
        <v>420</v>
      </c>
      <c r="C70" s="1">
        <v>2025035</v>
      </c>
      <c r="D70" s="1" t="s">
        <v>297</v>
      </c>
      <c r="E70" s="5">
        <f t="shared" si="1"/>
        <v>206.02</v>
      </c>
      <c r="G70" s="5">
        <v>2025142</v>
      </c>
      <c r="H70" s="63">
        <v>2799</v>
      </c>
      <c r="I70" s="63">
        <v>1299</v>
      </c>
      <c r="J70" s="63"/>
      <c r="K70" s="63">
        <v>2049</v>
      </c>
      <c r="O70" s="23" t="s">
        <v>355</v>
      </c>
      <c r="P70" s="56">
        <v>189</v>
      </c>
    </row>
    <row r="71" spans="1:16" x14ac:dyDescent="0.25">
      <c r="A71" s="1">
        <v>100</v>
      </c>
      <c r="B71" s="1" t="s">
        <v>421</v>
      </c>
      <c r="C71" s="1">
        <v>2025035</v>
      </c>
      <c r="D71" s="1" t="s">
        <v>300</v>
      </c>
      <c r="E71" s="5">
        <f t="shared" si="1"/>
        <v>212.4</v>
      </c>
      <c r="G71" s="5">
        <v>2025148</v>
      </c>
      <c r="H71" s="63">
        <v>392</v>
      </c>
      <c r="I71" s="63">
        <v>156</v>
      </c>
      <c r="J71" s="63"/>
      <c r="K71" s="63">
        <v>274</v>
      </c>
      <c r="O71" s="24" t="s">
        <v>357</v>
      </c>
      <c r="P71" s="57">
        <f>977-106</f>
        <v>871</v>
      </c>
    </row>
    <row r="72" spans="1:16" x14ac:dyDescent="0.25">
      <c r="A72" s="1">
        <v>101</v>
      </c>
      <c r="B72" s="1" t="s">
        <v>422</v>
      </c>
      <c r="C72" s="1">
        <v>2025036</v>
      </c>
      <c r="D72" s="1" t="s">
        <v>297</v>
      </c>
      <c r="E72" s="5">
        <f t="shared" si="1"/>
        <v>645</v>
      </c>
      <c r="G72" s="5">
        <v>2025149</v>
      </c>
      <c r="H72" s="63">
        <v>465</v>
      </c>
      <c r="I72" s="63">
        <v>1025</v>
      </c>
      <c r="J72" s="63"/>
      <c r="K72" s="63">
        <v>745</v>
      </c>
      <c r="O72" s="24" t="s">
        <v>359</v>
      </c>
      <c r="P72" s="57">
        <v>401</v>
      </c>
    </row>
    <row r="73" spans="1:16" x14ac:dyDescent="0.25">
      <c r="A73" s="1">
        <v>102</v>
      </c>
      <c r="B73" s="1" t="s">
        <v>423</v>
      </c>
      <c r="C73" s="1">
        <v>2025036</v>
      </c>
      <c r="D73" s="1" t="s">
        <v>300</v>
      </c>
      <c r="E73" s="5">
        <f t="shared" si="1"/>
        <v>607</v>
      </c>
      <c r="G73" s="5">
        <v>2025150</v>
      </c>
      <c r="H73" s="63">
        <v>931</v>
      </c>
      <c r="I73" s="63">
        <v>712</v>
      </c>
      <c r="J73" s="63"/>
      <c r="K73" s="63">
        <v>821.5</v>
      </c>
      <c r="O73" s="24" t="s">
        <v>361</v>
      </c>
      <c r="P73" s="57">
        <v>994</v>
      </c>
    </row>
    <row r="74" spans="1:16" x14ac:dyDescent="0.25">
      <c r="A74" s="1">
        <v>103</v>
      </c>
      <c r="B74" s="5" t="s">
        <v>424</v>
      </c>
      <c r="C74" s="1">
        <v>2025037</v>
      </c>
      <c r="D74" s="1" t="s">
        <v>297</v>
      </c>
      <c r="E74" s="5">
        <f t="shared" si="1"/>
        <v>1871</v>
      </c>
      <c r="G74" s="5">
        <v>2025151</v>
      </c>
      <c r="H74" s="63">
        <v>510</v>
      </c>
      <c r="I74" s="63">
        <v>557</v>
      </c>
      <c r="J74" s="63"/>
      <c r="K74" s="63">
        <v>533.5</v>
      </c>
      <c r="O74" s="24" t="s">
        <v>363</v>
      </c>
      <c r="P74" s="57">
        <v>343</v>
      </c>
    </row>
    <row r="75" spans="1:16" x14ac:dyDescent="0.25">
      <c r="A75" s="1">
        <v>104</v>
      </c>
      <c r="B75" s="5" t="s">
        <v>425</v>
      </c>
      <c r="C75" s="1">
        <v>2025037</v>
      </c>
      <c r="D75" s="1" t="s">
        <v>300</v>
      </c>
      <c r="E75" s="5">
        <f t="shared" si="1"/>
        <v>1585</v>
      </c>
      <c r="G75" s="5" t="s">
        <v>301</v>
      </c>
      <c r="H75" s="63"/>
      <c r="I75" s="63"/>
      <c r="J75" s="63"/>
      <c r="K75" s="63"/>
      <c r="O75" s="23" t="s">
        <v>365</v>
      </c>
      <c r="P75" s="56">
        <v>2523</v>
      </c>
    </row>
    <row r="76" spans="1:16" x14ac:dyDescent="0.25">
      <c r="A76" s="1">
        <v>105</v>
      </c>
      <c r="B76" s="5" t="s">
        <v>426</v>
      </c>
      <c r="C76" s="1">
        <v>2025038</v>
      </c>
      <c r="D76" s="1" t="s">
        <v>297</v>
      </c>
      <c r="E76" s="5">
        <f t="shared" si="1"/>
        <v>1642</v>
      </c>
      <c r="G76" s="5">
        <v>2025032</v>
      </c>
      <c r="H76" s="63">
        <v>0</v>
      </c>
      <c r="I76" s="63">
        <v>0</v>
      </c>
      <c r="J76" s="63"/>
      <c r="K76" s="63">
        <v>0</v>
      </c>
      <c r="O76" s="23" t="s">
        <v>367</v>
      </c>
      <c r="P76" s="56">
        <v>1219</v>
      </c>
    </row>
    <row r="77" spans="1:16" x14ac:dyDescent="0.25">
      <c r="A77" s="1">
        <v>106</v>
      </c>
      <c r="B77" s="5" t="s">
        <v>427</v>
      </c>
      <c r="C77" s="1">
        <v>2025038</v>
      </c>
      <c r="D77" s="1" t="s">
        <v>300</v>
      </c>
      <c r="E77" s="5">
        <f t="shared" si="1"/>
        <v>1381</v>
      </c>
      <c r="G77" s="5">
        <v>2025033</v>
      </c>
      <c r="H77" s="63">
        <v>0</v>
      </c>
      <c r="I77" s="63">
        <v>0</v>
      </c>
      <c r="J77" s="63"/>
      <c r="K77" s="63">
        <v>0</v>
      </c>
      <c r="O77" s="25" t="s">
        <v>368</v>
      </c>
      <c r="P77" s="58">
        <v>2695</v>
      </c>
    </row>
    <row r="78" spans="1:16" x14ac:dyDescent="0.25">
      <c r="A78" s="1">
        <v>155</v>
      </c>
      <c r="C78" s="6">
        <v>2025039</v>
      </c>
      <c r="D78" s="6" t="s">
        <v>297</v>
      </c>
      <c r="E78" s="5">
        <f t="shared" si="1"/>
        <v>0</v>
      </c>
      <c r="F78" s="1" t="s">
        <v>298</v>
      </c>
      <c r="G78" s="5">
        <v>2025001</v>
      </c>
      <c r="H78" s="63">
        <v>0</v>
      </c>
      <c r="I78" s="63">
        <v>0</v>
      </c>
      <c r="J78" s="63"/>
      <c r="K78" s="63">
        <v>0</v>
      </c>
      <c r="O78" s="25" t="s">
        <v>369</v>
      </c>
      <c r="P78" s="58">
        <v>1160</v>
      </c>
    </row>
    <row r="79" spans="1:16" x14ac:dyDescent="0.25">
      <c r="A79" s="1">
        <v>156</v>
      </c>
      <c r="C79" s="6">
        <v>2025039</v>
      </c>
      <c r="D79" s="6" t="s">
        <v>300</v>
      </c>
      <c r="E79" s="5">
        <f t="shared" si="1"/>
        <v>0</v>
      </c>
      <c r="F79" s="1" t="s">
        <v>298</v>
      </c>
      <c r="G79" s="5">
        <v>2025002</v>
      </c>
      <c r="H79" s="63">
        <v>0</v>
      </c>
      <c r="I79" s="63">
        <v>0</v>
      </c>
      <c r="J79" s="63"/>
      <c r="K79" s="63">
        <v>0</v>
      </c>
      <c r="O79" s="26" t="s">
        <v>373</v>
      </c>
      <c r="P79" s="59">
        <v>933</v>
      </c>
    </row>
    <row r="80" spans="1:16" x14ac:dyDescent="0.25">
      <c r="A80" s="1">
        <v>109</v>
      </c>
      <c r="B80" s="5" t="s">
        <v>428</v>
      </c>
      <c r="C80" s="1">
        <v>2025040</v>
      </c>
      <c r="D80" s="1" t="s">
        <v>297</v>
      </c>
      <c r="E80" s="5">
        <f t="shared" si="1"/>
        <v>0</v>
      </c>
      <c r="G80" s="5">
        <v>2025020</v>
      </c>
      <c r="H80" s="63">
        <v>0</v>
      </c>
      <c r="I80" s="63">
        <v>0</v>
      </c>
      <c r="J80" s="63"/>
      <c r="K80" s="63">
        <v>0</v>
      </c>
      <c r="O80" s="26" t="s">
        <v>375</v>
      </c>
      <c r="P80" s="59">
        <v>750</v>
      </c>
    </row>
    <row r="81" spans="1:16" x14ac:dyDescent="0.25">
      <c r="A81" s="1">
        <v>110</v>
      </c>
      <c r="B81" s="5" t="s">
        <v>429</v>
      </c>
      <c r="C81" s="1">
        <v>2025040</v>
      </c>
      <c r="D81" s="1" t="s">
        <v>300</v>
      </c>
      <c r="E81" s="5">
        <f t="shared" si="1"/>
        <v>0</v>
      </c>
      <c r="G81" s="5">
        <v>2025039</v>
      </c>
      <c r="H81" s="63">
        <v>0</v>
      </c>
      <c r="I81" s="63">
        <v>0</v>
      </c>
      <c r="J81" s="63"/>
      <c r="K81" s="63">
        <v>0</v>
      </c>
      <c r="O81" s="25" t="s">
        <v>377</v>
      </c>
      <c r="P81" s="58">
        <v>85</v>
      </c>
    </row>
    <row r="82" spans="1:16" x14ac:dyDescent="0.25">
      <c r="A82" s="1">
        <v>119</v>
      </c>
      <c r="B82" s="5" t="s">
        <v>430</v>
      </c>
      <c r="C82" s="1">
        <v>2025081</v>
      </c>
      <c r="D82" s="1" t="s">
        <v>297</v>
      </c>
      <c r="E82" s="5">
        <f t="shared" si="1"/>
        <v>2745</v>
      </c>
      <c r="G82" s="5">
        <v>2025114</v>
      </c>
      <c r="H82" s="63">
        <v>0</v>
      </c>
      <c r="I82" s="63">
        <v>0</v>
      </c>
      <c r="J82" s="63"/>
      <c r="K82" s="63">
        <v>0</v>
      </c>
      <c r="O82" s="25" t="s">
        <v>379</v>
      </c>
      <c r="P82" s="58">
        <v>719</v>
      </c>
    </row>
    <row r="83" spans="1:16" x14ac:dyDescent="0.25">
      <c r="A83" s="1">
        <v>120</v>
      </c>
      <c r="B83" s="5" t="s">
        <v>431</v>
      </c>
      <c r="C83" s="1">
        <v>2025081</v>
      </c>
      <c r="D83" s="1" t="s">
        <v>300</v>
      </c>
      <c r="E83" s="5">
        <f t="shared" si="1"/>
        <v>1244</v>
      </c>
      <c r="G83" s="5">
        <v>2025135</v>
      </c>
      <c r="H83" s="63">
        <v>0</v>
      </c>
      <c r="I83" s="63">
        <v>0</v>
      </c>
      <c r="J83" s="63"/>
      <c r="K83" s="63">
        <v>0</v>
      </c>
      <c r="O83" s="23" t="s">
        <v>381</v>
      </c>
      <c r="P83" s="56">
        <v>2790</v>
      </c>
    </row>
    <row r="84" spans="1:16" x14ac:dyDescent="0.25">
      <c r="A84" s="1">
        <v>121</v>
      </c>
      <c r="B84" s="5" t="s">
        <v>432</v>
      </c>
      <c r="C84" s="1">
        <v>2025082</v>
      </c>
      <c r="D84" s="1" t="s">
        <v>297</v>
      </c>
      <c r="E84" s="5">
        <f t="shared" si="1"/>
        <v>400</v>
      </c>
      <c r="G84" s="5">
        <v>2025131</v>
      </c>
      <c r="H84" s="63">
        <v>1040</v>
      </c>
      <c r="I84" s="63">
        <v>1642</v>
      </c>
      <c r="J84" s="63"/>
      <c r="K84" s="63">
        <v>1341</v>
      </c>
      <c r="O84" s="23" t="s">
        <v>383</v>
      </c>
      <c r="P84" s="56">
        <v>888</v>
      </c>
    </row>
    <row r="85" spans="1:16" x14ac:dyDescent="0.25">
      <c r="A85" s="1">
        <v>122</v>
      </c>
      <c r="B85" s="5" t="s">
        <v>433</v>
      </c>
      <c r="C85" s="1">
        <v>2025082</v>
      </c>
      <c r="D85" s="1" t="s">
        <v>300</v>
      </c>
      <c r="E85" s="5">
        <f t="shared" si="1"/>
        <v>338</v>
      </c>
      <c r="G85" s="5">
        <v>2025136</v>
      </c>
      <c r="H85" s="63">
        <v>1396</v>
      </c>
      <c r="I85" s="63">
        <v>916</v>
      </c>
      <c r="J85" s="63"/>
      <c r="K85" s="63">
        <v>1156</v>
      </c>
      <c r="O85" s="23" t="s">
        <v>385</v>
      </c>
      <c r="P85" s="56">
        <v>2113</v>
      </c>
    </row>
    <row r="86" spans="1:16" x14ac:dyDescent="0.25">
      <c r="A86" s="1">
        <v>175</v>
      </c>
      <c r="B86" s="68"/>
      <c r="C86" s="6">
        <v>2025083</v>
      </c>
      <c r="D86" s="6" t="s">
        <v>297</v>
      </c>
      <c r="E86" s="67">
        <v>717</v>
      </c>
      <c r="F86" s="1" t="s">
        <v>434</v>
      </c>
      <c r="G86" s="5">
        <v>2025111</v>
      </c>
      <c r="H86" s="63">
        <v>1483</v>
      </c>
      <c r="I86" s="63">
        <v>770</v>
      </c>
      <c r="J86" s="63"/>
      <c r="K86" s="63">
        <v>1126.5</v>
      </c>
      <c r="O86" s="23" t="s">
        <v>387</v>
      </c>
      <c r="P86" s="56">
        <v>675</v>
      </c>
    </row>
    <row r="87" spans="1:16" x14ac:dyDescent="0.25">
      <c r="A87" s="1">
        <v>176</v>
      </c>
      <c r="B87" s="68"/>
      <c r="C87" s="6">
        <v>2025083</v>
      </c>
      <c r="D87" s="6" t="s">
        <v>300</v>
      </c>
      <c r="E87" s="67">
        <v>835</v>
      </c>
      <c r="F87" s="1" t="s">
        <v>434</v>
      </c>
      <c r="G87" s="5">
        <v>2025139</v>
      </c>
      <c r="H87" s="63">
        <v>780</v>
      </c>
      <c r="I87" s="63">
        <v>557</v>
      </c>
      <c r="J87" s="63"/>
      <c r="K87" s="63">
        <v>668.5</v>
      </c>
      <c r="O87" s="25" t="s">
        <v>389</v>
      </c>
      <c r="P87" s="58">
        <f>2237-66</f>
        <v>2171</v>
      </c>
    </row>
    <row r="88" spans="1:16" x14ac:dyDescent="0.25">
      <c r="A88" s="1">
        <v>123</v>
      </c>
      <c r="B88" s="5" t="s">
        <v>435</v>
      </c>
      <c r="C88" s="1">
        <v>2025084</v>
      </c>
      <c r="D88" s="1" t="s">
        <v>297</v>
      </c>
      <c r="E88" s="5">
        <f t="shared" si="1"/>
        <v>1514</v>
      </c>
      <c r="G88" s="5">
        <v>2025129</v>
      </c>
      <c r="H88" s="63">
        <v>1517</v>
      </c>
      <c r="I88" s="63">
        <v>811</v>
      </c>
      <c r="J88" s="63"/>
      <c r="K88" s="63">
        <v>1164</v>
      </c>
      <c r="O88" s="25" t="s">
        <v>391</v>
      </c>
      <c r="P88" s="58">
        <f>951-18</f>
        <v>933</v>
      </c>
    </row>
    <row r="89" spans="1:16" x14ac:dyDescent="0.25">
      <c r="A89" s="1">
        <v>124</v>
      </c>
      <c r="B89" s="5" t="s">
        <v>436</v>
      </c>
      <c r="C89" s="1">
        <v>2025084</v>
      </c>
      <c r="D89" s="1" t="s">
        <v>300</v>
      </c>
      <c r="E89" s="5">
        <f t="shared" si="1"/>
        <v>556</v>
      </c>
      <c r="G89" s="5">
        <v>2025112</v>
      </c>
      <c r="H89" s="63">
        <v>718</v>
      </c>
      <c r="I89" s="63">
        <v>512</v>
      </c>
      <c r="J89" s="63"/>
      <c r="K89" s="63">
        <v>615</v>
      </c>
      <c r="O89" s="21" t="s">
        <v>392</v>
      </c>
      <c r="P89" s="54" t="s">
        <v>338</v>
      </c>
    </row>
    <row r="90" spans="1:16" x14ac:dyDescent="0.25">
      <c r="A90" s="1">
        <v>125</v>
      </c>
      <c r="B90" s="5" t="s">
        <v>437</v>
      </c>
      <c r="C90" s="1">
        <v>2025085</v>
      </c>
      <c r="D90" s="1" t="s">
        <v>297</v>
      </c>
      <c r="E90" s="5">
        <f t="shared" si="1"/>
        <v>2566</v>
      </c>
      <c r="G90" s="5">
        <v>2025090</v>
      </c>
      <c r="H90" s="63">
        <v>1103</v>
      </c>
      <c r="I90" s="63">
        <v>813</v>
      </c>
      <c r="J90" s="63"/>
      <c r="K90" s="63">
        <v>958</v>
      </c>
      <c r="O90" s="21" t="s">
        <v>393</v>
      </c>
      <c r="P90" s="54" t="s">
        <v>338</v>
      </c>
    </row>
    <row r="91" spans="1:16" x14ac:dyDescent="0.25">
      <c r="A91" s="1">
        <v>126</v>
      </c>
      <c r="B91" s="1" t="s">
        <v>438</v>
      </c>
      <c r="C91" s="1">
        <v>2025085</v>
      </c>
      <c r="D91" s="1" t="s">
        <v>300</v>
      </c>
      <c r="E91" s="5">
        <f t="shared" si="1"/>
        <v>1512</v>
      </c>
      <c r="G91" s="5">
        <v>2025083</v>
      </c>
      <c r="H91" s="63">
        <v>717</v>
      </c>
      <c r="I91" s="63">
        <v>835</v>
      </c>
      <c r="J91" s="63"/>
      <c r="K91" s="63">
        <v>776</v>
      </c>
      <c r="O91" s="23" t="s">
        <v>395</v>
      </c>
      <c r="P91" s="56">
        <v>39</v>
      </c>
    </row>
    <row r="92" spans="1:16" x14ac:dyDescent="0.25">
      <c r="A92" s="1">
        <v>127</v>
      </c>
      <c r="B92" s="1" t="s">
        <v>439</v>
      </c>
      <c r="C92" s="1">
        <v>2025086</v>
      </c>
      <c r="D92" s="1" t="s">
        <v>297</v>
      </c>
      <c r="E92" s="5">
        <f t="shared" si="1"/>
        <v>3538</v>
      </c>
      <c r="G92" s="5">
        <v>2025118</v>
      </c>
      <c r="H92" s="63">
        <v>1378</v>
      </c>
      <c r="I92" s="63">
        <v>929</v>
      </c>
      <c r="J92" s="63"/>
      <c r="K92" s="63">
        <v>1153.5</v>
      </c>
      <c r="O92" s="23" t="s">
        <v>397</v>
      </c>
      <c r="P92" s="56">
        <v>161</v>
      </c>
    </row>
    <row r="93" spans="1:16" x14ac:dyDescent="0.25">
      <c r="A93" s="1">
        <v>128</v>
      </c>
      <c r="B93" s="1" t="s">
        <v>440</v>
      </c>
      <c r="C93" s="1">
        <v>2025086</v>
      </c>
      <c r="D93" s="1" t="s">
        <v>300</v>
      </c>
      <c r="E93" s="5">
        <f t="shared" si="1"/>
        <v>2263</v>
      </c>
      <c r="G93" s="5" t="s">
        <v>302</v>
      </c>
      <c r="H93" s="63">
        <v>1171.5822471910112</v>
      </c>
      <c r="I93" s="63">
        <v>739.57191011235943</v>
      </c>
      <c r="J93" s="63"/>
      <c r="K93" s="63">
        <v>955.57707865168538</v>
      </c>
      <c r="O93" s="24" t="s">
        <v>399</v>
      </c>
      <c r="P93" s="57">
        <v>2715</v>
      </c>
    </row>
    <row r="94" spans="1:16" x14ac:dyDescent="0.25">
      <c r="A94" s="1">
        <v>129</v>
      </c>
      <c r="B94" s="1" t="s">
        <v>441</v>
      </c>
      <c r="C94" s="1">
        <v>2025087</v>
      </c>
      <c r="D94" s="1" t="s">
        <v>297</v>
      </c>
      <c r="E94" s="5">
        <f t="shared" si="1"/>
        <v>1780</v>
      </c>
      <c r="O94" s="24" t="s">
        <v>401</v>
      </c>
      <c r="P94" s="57">
        <v>1696</v>
      </c>
    </row>
    <row r="95" spans="1:16" x14ac:dyDescent="0.25">
      <c r="A95" s="1">
        <v>130</v>
      </c>
      <c r="B95" s="1" t="s">
        <v>442</v>
      </c>
      <c r="C95" s="1">
        <v>2025087</v>
      </c>
      <c r="D95" s="1" t="s">
        <v>300</v>
      </c>
      <c r="E95" s="5">
        <f t="shared" si="1"/>
        <v>1728</v>
      </c>
      <c r="O95" s="25" t="s">
        <v>403</v>
      </c>
      <c r="P95" s="58">
        <v>1294</v>
      </c>
    </row>
    <row r="96" spans="1:16" x14ac:dyDescent="0.25">
      <c r="A96" s="1">
        <v>131</v>
      </c>
      <c r="B96" s="1" t="s">
        <v>443</v>
      </c>
      <c r="C96" s="1">
        <v>2025088</v>
      </c>
      <c r="D96" s="1" t="s">
        <v>297</v>
      </c>
      <c r="E96" s="5">
        <f t="shared" si="1"/>
        <v>3113</v>
      </c>
      <c r="O96" s="25" t="s">
        <v>405</v>
      </c>
      <c r="P96" s="58">
        <v>454</v>
      </c>
    </row>
    <row r="97" spans="1:16" x14ac:dyDescent="0.25">
      <c r="A97" s="1">
        <v>132</v>
      </c>
      <c r="B97" s="1" t="s">
        <v>444</v>
      </c>
      <c r="C97" s="1">
        <v>2025088</v>
      </c>
      <c r="D97" s="1" t="s">
        <v>300</v>
      </c>
      <c r="E97" s="5">
        <f t="shared" si="1"/>
        <v>899</v>
      </c>
      <c r="O97" s="21" t="s">
        <v>407</v>
      </c>
      <c r="P97" s="54">
        <v>228</v>
      </c>
    </row>
    <row r="98" spans="1:16" x14ac:dyDescent="0.25">
      <c r="A98" s="1">
        <v>133</v>
      </c>
      <c r="B98" s="1" t="s">
        <v>445</v>
      </c>
      <c r="C98" s="1">
        <v>2025089</v>
      </c>
      <c r="D98" s="1" t="s">
        <v>297</v>
      </c>
      <c r="E98" s="5">
        <f t="shared" si="1"/>
        <v>857</v>
      </c>
      <c r="O98" s="21" t="s">
        <v>409</v>
      </c>
      <c r="P98" s="54">
        <v>191</v>
      </c>
    </row>
    <row r="99" spans="1:16" x14ac:dyDescent="0.25">
      <c r="A99" s="1">
        <v>134</v>
      </c>
      <c r="B99" s="1" t="s">
        <v>446</v>
      </c>
      <c r="C99" s="1">
        <v>2025089</v>
      </c>
      <c r="D99" s="1" t="s">
        <v>300</v>
      </c>
      <c r="E99" s="5">
        <f t="shared" si="1"/>
        <v>705</v>
      </c>
      <c r="O99" s="21" t="s">
        <v>411</v>
      </c>
      <c r="P99" s="54" t="s">
        <v>338</v>
      </c>
    </row>
    <row r="100" spans="1:16" x14ac:dyDescent="0.25">
      <c r="A100" s="1">
        <v>173</v>
      </c>
      <c r="C100" s="6">
        <v>2025090</v>
      </c>
      <c r="D100" s="6" t="s">
        <v>297</v>
      </c>
      <c r="E100" s="69">
        <v>1103</v>
      </c>
      <c r="F100" s="5" t="s">
        <v>434</v>
      </c>
      <c r="O100" s="21" t="s">
        <v>413</v>
      </c>
      <c r="P100" s="54" t="s">
        <v>338</v>
      </c>
    </row>
    <row r="101" spans="1:16" x14ac:dyDescent="0.25">
      <c r="A101" s="1">
        <v>174</v>
      </c>
      <c r="C101" s="6">
        <v>2025090</v>
      </c>
      <c r="D101" s="6" t="s">
        <v>300</v>
      </c>
      <c r="E101" s="69">
        <v>813</v>
      </c>
      <c r="F101" s="5" t="s">
        <v>434</v>
      </c>
      <c r="O101" s="27" t="s">
        <v>417</v>
      </c>
      <c r="P101" s="60" t="s">
        <v>338</v>
      </c>
    </row>
    <row r="102" spans="1:16" x14ac:dyDescent="0.25">
      <c r="A102" s="1">
        <v>137</v>
      </c>
      <c r="B102" s="1" t="s">
        <v>447</v>
      </c>
      <c r="C102" s="1">
        <v>2025091</v>
      </c>
      <c r="D102" s="1" t="s">
        <v>297</v>
      </c>
      <c r="E102" s="5">
        <f t="shared" si="1"/>
        <v>1230</v>
      </c>
      <c r="O102" s="27" t="s">
        <v>419</v>
      </c>
      <c r="P102" s="60" t="s">
        <v>338</v>
      </c>
    </row>
    <row r="103" spans="1:16" x14ac:dyDescent="0.25">
      <c r="A103" s="1">
        <v>138</v>
      </c>
      <c r="B103" s="1" t="s">
        <v>448</v>
      </c>
      <c r="C103" s="1">
        <v>2025091</v>
      </c>
      <c r="D103" s="1" t="s">
        <v>300</v>
      </c>
      <c r="E103" s="5">
        <f t="shared" si="1"/>
        <v>990</v>
      </c>
      <c r="O103" s="25" t="s">
        <v>420</v>
      </c>
      <c r="P103" s="58">
        <f>209-(0.84+2.14)</f>
        <v>206.02</v>
      </c>
    </row>
    <row r="104" spans="1:16" x14ac:dyDescent="0.25">
      <c r="A104" s="1">
        <v>139</v>
      </c>
      <c r="B104" s="1" t="s">
        <v>449</v>
      </c>
      <c r="C104" s="1">
        <v>2025092</v>
      </c>
      <c r="D104" s="1" t="s">
        <v>297</v>
      </c>
      <c r="E104" s="5">
        <f t="shared" si="1"/>
        <v>992</v>
      </c>
      <c r="O104" s="25" t="s">
        <v>421</v>
      </c>
      <c r="P104" s="58">
        <f>248-35.6</f>
        <v>212.4</v>
      </c>
    </row>
    <row r="105" spans="1:16" x14ac:dyDescent="0.25">
      <c r="A105" s="1">
        <v>140</v>
      </c>
      <c r="B105" s="1" t="s">
        <v>450</v>
      </c>
      <c r="C105" s="1">
        <v>2025092</v>
      </c>
      <c r="D105" s="1" t="s">
        <v>300</v>
      </c>
      <c r="E105" s="5">
        <f t="shared" si="1"/>
        <v>377</v>
      </c>
      <c r="O105" s="28" t="s">
        <v>422</v>
      </c>
      <c r="P105" s="61">
        <v>645</v>
      </c>
    </row>
    <row r="106" spans="1:16" x14ac:dyDescent="0.25">
      <c r="A106" s="1">
        <v>141</v>
      </c>
      <c r="B106" s="1" t="s">
        <v>451</v>
      </c>
      <c r="C106" s="1">
        <v>2025093</v>
      </c>
      <c r="D106" s="1" t="s">
        <v>297</v>
      </c>
      <c r="E106" s="5">
        <f t="shared" si="1"/>
        <v>1076</v>
      </c>
      <c r="O106" s="28" t="s">
        <v>423</v>
      </c>
      <c r="P106" s="61">
        <v>607</v>
      </c>
    </row>
    <row r="107" spans="1:16" x14ac:dyDescent="0.25">
      <c r="A107" s="1">
        <v>142</v>
      </c>
      <c r="B107" s="1" t="s">
        <v>452</v>
      </c>
      <c r="C107" s="1">
        <v>2025093</v>
      </c>
      <c r="D107" s="1" t="s">
        <v>300</v>
      </c>
      <c r="E107" s="5">
        <f t="shared" si="1"/>
        <v>803</v>
      </c>
      <c r="O107" s="25" t="s">
        <v>424</v>
      </c>
      <c r="P107" s="58">
        <v>1871</v>
      </c>
    </row>
    <row r="108" spans="1:16" x14ac:dyDescent="0.25">
      <c r="A108" s="1">
        <v>165</v>
      </c>
      <c r="C108" s="6">
        <v>2025111</v>
      </c>
      <c r="D108" s="6" t="s">
        <v>297</v>
      </c>
      <c r="E108" s="70">
        <v>1483</v>
      </c>
      <c r="F108" s="5" t="s">
        <v>434</v>
      </c>
      <c r="O108" s="25" t="s">
        <v>425</v>
      </c>
      <c r="P108" s="58">
        <v>1585</v>
      </c>
    </row>
    <row r="109" spans="1:16" x14ac:dyDescent="0.25">
      <c r="A109" s="1">
        <v>166</v>
      </c>
      <c r="C109" s="6">
        <v>2025111</v>
      </c>
      <c r="D109" s="6" t="s">
        <v>300</v>
      </c>
      <c r="E109" s="70">
        <v>770</v>
      </c>
      <c r="F109" s="5" t="s">
        <v>434</v>
      </c>
      <c r="O109" s="25" t="s">
        <v>426</v>
      </c>
      <c r="P109" s="58">
        <v>1642</v>
      </c>
    </row>
    <row r="110" spans="1:16" x14ac:dyDescent="0.25">
      <c r="A110" s="1">
        <v>171</v>
      </c>
      <c r="C110" s="6">
        <v>2025112</v>
      </c>
      <c r="D110" s="6" t="s">
        <v>297</v>
      </c>
      <c r="E110" s="71">
        <v>718</v>
      </c>
      <c r="F110" s="5" t="s">
        <v>434</v>
      </c>
      <c r="O110" s="25" t="s">
        <v>427</v>
      </c>
      <c r="P110" s="58">
        <v>1381</v>
      </c>
    </row>
    <row r="111" spans="1:16" x14ac:dyDescent="0.25">
      <c r="A111" s="1">
        <v>172</v>
      </c>
      <c r="C111" s="6">
        <v>2025112</v>
      </c>
      <c r="D111" s="6" t="s">
        <v>300</v>
      </c>
      <c r="E111" s="71">
        <v>512</v>
      </c>
      <c r="F111" s="5" t="s">
        <v>434</v>
      </c>
      <c r="O111" s="21" t="s">
        <v>308</v>
      </c>
      <c r="P111" s="54">
        <v>315</v>
      </c>
    </row>
    <row r="112" spans="1:16" x14ac:dyDescent="0.25">
      <c r="A112" s="1">
        <v>3</v>
      </c>
      <c r="B112" s="1" t="s">
        <v>311</v>
      </c>
      <c r="C112" s="1">
        <v>2025113</v>
      </c>
      <c r="D112" s="1" t="s">
        <v>297</v>
      </c>
      <c r="E112" s="5">
        <f t="shared" si="1"/>
        <v>1876</v>
      </c>
      <c r="O112" s="21" t="s">
        <v>310</v>
      </c>
      <c r="P112" s="54">
        <v>250</v>
      </c>
    </row>
    <row r="113" spans="1:16" x14ac:dyDescent="0.25">
      <c r="A113" s="1">
        <v>4</v>
      </c>
      <c r="B113" s="1" t="s">
        <v>313</v>
      </c>
      <c r="C113" s="1">
        <v>2025113</v>
      </c>
      <c r="D113" s="1" t="s">
        <v>300</v>
      </c>
      <c r="E113" s="5">
        <f t="shared" si="1"/>
        <v>608</v>
      </c>
      <c r="O113" s="21" t="s">
        <v>428</v>
      </c>
      <c r="P113" s="54" t="s">
        <v>338</v>
      </c>
    </row>
    <row r="114" spans="1:16" x14ac:dyDescent="0.25">
      <c r="A114" s="1">
        <v>157</v>
      </c>
      <c r="C114" s="6">
        <v>2025114</v>
      </c>
      <c r="D114" s="6" t="s">
        <v>297</v>
      </c>
      <c r="E114" s="5">
        <f t="shared" si="1"/>
        <v>0</v>
      </c>
      <c r="F114" s="5" t="s">
        <v>38</v>
      </c>
      <c r="O114" s="21" t="s">
        <v>429</v>
      </c>
      <c r="P114" s="54" t="s">
        <v>338</v>
      </c>
    </row>
    <row r="115" spans="1:16" x14ac:dyDescent="0.25">
      <c r="A115" s="1">
        <v>158</v>
      </c>
      <c r="C115" s="6">
        <v>2025114</v>
      </c>
      <c r="D115" s="6" t="s">
        <v>300</v>
      </c>
      <c r="E115" s="5">
        <f t="shared" si="1"/>
        <v>0</v>
      </c>
      <c r="F115" s="5" t="s">
        <v>38</v>
      </c>
      <c r="O115" s="21" t="s">
        <v>312</v>
      </c>
      <c r="P115" s="54">
        <v>42</v>
      </c>
    </row>
    <row r="116" spans="1:16" x14ac:dyDescent="0.25">
      <c r="A116" s="1">
        <v>5</v>
      </c>
      <c r="B116" s="1" t="s">
        <v>315</v>
      </c>
      <c r="C116" s="1">
        <v>2025115</v>
      </c>
      <c r="D116" s="1" t="s">
        <v>297</v>
      </c>
      <c r="E116" s="5">
        <f t="shared" si="1"/>
        <v>3975.8</v>
      </c>
      <c r="O116" s="21" t="s">
        <v>314</v>
      </c>
      <c r="P116" s="54">
        <v>141</v>
      </c>
    </row>
    <row r="117" spans="1:16" x14ac:dyDescent="0.25">
      <c r="A117" s="1">
        <v>6</v>
      </c>
      <c r="B117" s="1" t="s">
        <v>317</v>
      </c>
      <c r="C117" s="1">
        <v>2025115</v>
      </c>
      <c r="D117" s="1" t="s">
        <v>300</v>
      </c>
      <c r="E117" s="5">
        <f t="shared" si="1"/>
        <v>2080</v>
      </c>
      <c r="O117" s="23" t="s">
        <v>316</v>
      </c>
      <c r="P117" s="56">
        <v>2222</v>
      </c>
    </row>
    <row r="118" spans="1:16" x14ac:dyDescent="0.25">
      <c r="A118" s="1">
        <v>7</v>
      </c>
      <c r="B118" s="1" t="s">
        <v>319</v>
      </c>
      <c r="C118" s="1">
        <v>2025116</v>
      </c>
      <c r="D118" s="1" t="s">
        <v>297</v>
      </c>
      <c r="E118" s="5">
        <f t="shared" si="1"/>
        <v>3531</v>
      </c>
      <c r="O118" s="23" t="s">
        <v>318</v>
      </c>
      <c r="P118" s="56">
        <v>939</v>
      </c>
    </row>
    <row r="119" spans="1:16" x14ac:dyDescent="0.25">
      <c r="A119" s="1">
        <v>8</v>
      </c>
      <c r="B119" s="1" t="s">
        <v>321</v>
      </c>
      <c r="C119" s="1">
        <v>2025116</v>
      </c>
      <c r="D119" s="1" t="s">
        <v>300</v>
      </c>
      <c r="E119" s="5">
        <f t="shared" si="1"/>
        <v>2364</v>
      </c>
      <c r="O119" s="23" t="s">
        <v>320</v>
      </c>
      <c r="P119" s="56">
        <v>17</v>
      </c>
    </row>
    <row r="120" spans="1:16" x14ac:dyDescent="0.25">
      <c r="A120" s="1">
        <v>9</v>
      </c>
      <c r="B120" s="1" t="s">
        <v>323</v>
      </c>
      <c r="C120" s="1">
        <v>2025117</v>
      </c>
      <c r="D120" s="1" t="s">
        <v>297</v>
      </c>
      <c r="E120" s="5">
        <f t="shared" si="1"/>
        <v>750</v>
      </c>
      <c r="O120" s="23" t="s">
        <v>322</v>
      </c>
      <c r="P120" s="56" t="s">
        <v>338</v>
      </c>
    </row>
    <row r="121" spans="1:16" x14ac:dyDescent="0.25">
      <c r="A121" s="1">
        <v>10</v>
      </c>
      <c r="B121" s="1" t="s">
        <v>325</v>
      </c>
      <c r="C121" s="1">
        <v>2025117</v>
      </c>
      <c r="D121" s="1" t="s">
        <v>300</v>
      </c>
      <c r="E121" s="5">
        <f t="shared" si="1"/>
        <v>345</v>
      </c>
      <c r="O121" s="21" t="s">
        <v>324</v>
      </c>
      <c r="P121" s="54" t="s">
        <v>338</v>
      </c>
    </row>
    <row r="122" spans="1:16" x14ac:dyDescent="0.25">
      <c r="A122" s="1">
        <v>177</v>
      </c>
      <c r="C122" s="6">
        <v>2025118</v>
      </c>
      <c r="D122" s="6" t="s">
        <v>297</v>
      </c>
      <c r="E122" s="72">
        <v>1378</v>
      </c>
      <c r="F122" s="5" t="s">
        <v>434</v>
      </c>
      <c r="O122" s="21" t="s">
        <v>326</v>
      </c>
      <c r="P122" s="54" t="s">
        <v>338</v>
      </c>
    </row>
    <row r="123" spans="1:16" x14ac:dyDescent="0.25">
      <c r="C123" s="6">
        <v>2025118</v>
      </c>
      <c r="D123" s="6" t="s">
        <v>300</v>
      </c>
      <c r="E123" s="72">
        <v>929</v>
      </c>
      <c r="F123" s="5" t="s">
        <v>434</v>
      </c>
      <c r="O123" s="25" t="s">
        <v>430</v>
      </c>
      <c r="P123" s="58">
        <v>2745</v>
      </c>
    </row>
    <row r="124" spans="1:16" x14ac:dyDescent="0.25">
      <c r="A124" s="1">
        <v>11</v>
      </c>
      <c r="B124" s="1" t="s">
        <v>327</v>
      </c>
      <c r="C124" s="1">
        <v>2025119</v>
      </c>
      <c r="D124" s="1" t="s">
        <v>297</v>
      </c>
      <c r="E124" s="5">
        <f t="shared" si="1"/>
        <v>754</v>
      </c>
      <c r="O124" s="25" t="s">
        <v>431</v>
      </c>
      <c r="P124" s="58">
        <v>1244</v>
      </c>
    </row>
    <row r="125" spans="1:16" x14ac:dyDescent="0.25">
      <c r="A125" s="1">
        <v>12</v>
      </c>
      <c r="B125" s="1" t="s">
        <v>329</v>
      </c>
      <c r="C125" s="1">
        <v>2025119</v>
      </c>
      <c r="D125" s="1" t="s">
        <v>300</v>
      </c>
      <c r="E125" s="5">
        <f t="shared" si="1"/>
        <v>582</v>
      </c>
      <c r="O125" s="29" t="s">
        <v>432</v>
      </c>
      <c r="P125" s="62">
        <v>400</v>
      </c>
    </row>
    <row r="126" spans="1:16" x14ac:dyDescent="0.25">
      <c r="A126" s="1">
        <v>15</v>
      </c>
      <c r="B126" s="1" t="s">
        <v>335</v>
      </c>
      <c r="C126" s="1">
        <v>2025120</v>
      </c>
      <c r="D126" s="1" t="s">
        <v>297</v>
      </c>
      <c r="E126" s="5">
        <f t="shared" si="1"/>
        <v>12</v>
      </c>
      <c r="O126" s="29" t="s">
        <v>433</v>
      </c>
      <c r="P126" s="62">
        <v>338</v>
      </c>
    </row>
    <row r="127" spans="1:16" x14ac:dyDescent="0.25">
      <c r="A127" s="1">
        <v>16</v>
      </c>
      <c r="B127" s="1" t="s">
        <v>336</v>
      </c>
      <c r="C127" s="1">
        <v>2025120</v>
      </c>
      <c r="D127" s="1" t="s">
        <v>300</v>
      </c>
      <c r="E127" s="5">
        <f t="shared" si="1"/>
        <v>118</v>
      </c>
      <c r="O127" s="22" t="s">
        <v>435</v>
      </c>
      <c r="P127" s="55">
        <v>1514</v>
      </c>
    </row>
    <row r="128" spans="1:16" x14ac:dyDescent="0.25">
      <c r="A128" s="1">
        <v>17</v>
      </c>
      <c r="B128" s="1" t="s">
        <v>337</v>
      </c>
      <c r="C128" s="1">
        <v>2025121</v>
      </c>
      <c r="D128" s="1" t="s">
        <v>297</v>
      </c>
      <c r="E128" s="5">
        <f t="shared" si="1"/>
        <v>0</v>
      </c>
      <c r="O128" s="22" t="s">
        <v>436</v>
      </c>
      <c r="P128" s="55">
        <v>556</v>
      </c>
    </row>
    <row r="129" spans="1:16" x14ac:dyDescent="0.25">
      <c r="A129" s="1">
        <v>18</v>
      </c>
      <c r="B129" s="1" t="s">
        <v>339</v>
      </c>
      <c r="C129" s="1">
        <v>2025121</v>
      </c>
      <c r="D129" s="1" t="s">
        <v>300</v>
      </c>
      <c r="E129" s="5">
        <f t="shared" si="1"/>
        <v>0</v>
      </c>
      <c r="O129" s="22" t="s">
        <v>437</v>
      </c>
      <c r="P129" s="55">
        <v>2566</v>
      </c>
    </row>
    <row r="130" spans="1:16" x14ac:dyDescent="0.25">
      <c r="A130" s="1">
        <v>19</v>
      </c>
      <c r="B130" s="1" t="s">
        <v>340</v>
      </c>
      <c r="C130" s="1">
        <v>2025122</v>
      </c>
      <c r="D130" s="1" t="s">
        <v>297</v>
      </c>
      <c r="E130" s="5">
        <f t="shared" ref="E130:E179" si="2">IFERROR(IF(VLOOKUP(B130,$O$5:$P$148,2) = "empty", 0, VLOOKUP(B130,$O$5:$P$148,2)), 0)</f>
        <v>2650</v>
      </c>
      <c r="O130" s="22" t="s">
        <v>438</v>
      </c>
      <c r="P130" s="55">
        <v>1512</v>
      </c>
    </row>
    <row r="131" spans="1:16" x14ac:dyDescent="0.25">
      <c r="A131" s="1">
        <v>20</v>
      </c>
      <c r="B131" s="1" t="s">
        <v>342</v>
      </c>
      <c r="C131" s="1">
        <v>2025122</v>
      </c>
      <c r="D131" s="1" t="s">
        <v>300</v>
      </c>
      <c r="E131" s="5">
        <f t="shared" si="2"/>
        <v>1147</v>
      </c>
      <c r="O131" s="22" t="s">
        <v>439</v>
      </c>
      <c r="P131" s="55">
        <v>3538</v>
      </c>
    </row>
    <row r="132" spans="1:16" x14ac:dyDescent="0.25">
      <c r="A132" s="1">
        <v>21</v>
      </c>
      <c r="B132" s="1" t="s">
        <v>344</v>
      </c>
      <c r="C132" s="1">
        <v>2025123</v>
      </c>
      <c r="D132" s="1" t="s">
        <v>297</v>
      </c>
      <c r="E132" s="5">
        <f t="shared" si="2"/>
        <v>0</v>
      </c>
      <c r="O132" s="22" t="s">
        <v>440</v>
      </c>
      <c r="P132" s="55">
        <v>2263</v>
      </c>
    </row>
    <row r="133" spans="1:16" x14ac:dyDescent="0.25">
      <c r="A133" s="1">
        <v>22</v>
      </c>
      <c r="B133" s="1" t="s">
        <v>346</v>
      </c>
      <c r="C133" s="1">
        <v>2025123</v>
      </c>
      <c r="D133" s="1" t="s">
        <v>300</v>
      </c>
      <c r="E133" s="5">
        <f t="shared" si="2"/>
        <v>0</v>
      </c>
      <c r="O133" s="22" t="s">
        <v>441</v>
      </c>
      <c r="P133" s="55">
        <v>1780</v>
      </c>
    </row>
    <row r="134" spans="1:16" x14ac:dyDescent="0.25">
      <c r="A134" s="1">
        <v>23</v>
      </c>
      <c r="B134" s="1" t="s">
        <v>348</v>
      </c>
      <c r="C134" s="1">
        <v>2025124</v>
      </c>
      <c r="D134" s="1" t="s">
        <v>297</v>
      </c>
      <c r="E134" s="5">
        <f t="shared" si="2"/>
        <v>2564</v>
      </c>
      <c r="O134" s="22" t="s">
        <v>442</v>
      </c>
      <c r="P134" s="55">
        <v>1728</v>
      </c>
    </row>
    <row r="135" spans="1:16" x14ac:dyDescent="0.25">
      <c r="A135" s="1">
        <v>24</v>
      </c>
      <c r="B135" s="1" t="s">
        <v>350</v>
      </c>
      <c r="C135" s="1">
        <v>2025124</v>
      </c>
      <c r="D135" s="1" t="s">
        <v>300</v>
      </c>
      <c r="E135" s="5">
        <f t="shared" si="2"/>
        <v>2102</v>
      </c>
      <c r="O135" s="22" t="s">
        <v>443</v>
      </c>
      <c r="P135" s="55">
        <v>3113</v>
      </c>
    </row>
    <row r="136" spans="1:16" x14ac:dyDescent="0.25">
      <c r="A136" s="1">
        <v>25</v>
      </c>
      <c r="B136" s="1" t="s">
        <v>352</v>
      </c>
      <c r="C136" s="1">
        <v>2025125</v>
      </c>
      <c r="D136" s="1" t="s">
        <v>297</v>
      </c>
      <c r="E136" s="5">
        <f t="shared" si="2"/>
        <v>1891</v>
      </c>
      <c r="O136" s="22" t="s">
        <v>444</v>
      </c>
      <c r="P136" s="55">
        <v>899</v>
      </c>
    </row>
    <row r="137" spans="1:16" x14ac:dyDescent="0.25">
      <c r="A137" s="1">
        <v>26</v>
      </c>
      <c r="B137" s="1" t="s">
        <v>354</v>
      </c>
      <c r="C137" s="1">
        <v>2025125</v>
      </c>
      <c r="D137" s="1" t="s">
        <v>300</v>
      </c>
      <c r="E137" s="5">
        <f t="shared" si="2"/>
        <v>891</v>
      </c>
      <c r="O137" s="22" t="s">
        <v>445</v>
      </c>
      <c r="P137" s="55">
        <v>857</v>
      </c>
    </row>
    <row r="138" spans="1:16" x14ac:dyDescent="0.25">
      <c r="A138" s="1">
        <v>27</v>
      </c>
      <c r="B138" s="1" t="s">
        <v>356</v>
      </c>
      <c r="C138" s="1">
        <v>2025126</v>
      </c>
      <c r="D138" s="1" t="s">
        <v>297</v>
      </c>
      <c r="E138" s="5">
        <f t="shared" si="2"/>
        <v>2057</v>
      </c>
      <c r="O138" s="22" t="s">
        <v>446</v>
      </c>
      <c r="P138" s="55">
        <v>705</v>
      </c>
    </row>
    <row r="139" spans="1:16" x14ac:dyDescent="0.25">
      <c r="A139" s="1">
        <v>28</v>
      </c>
      <c r="B139" s="1" t="s">
        <v>358</v>
      </c>
      <c r="C139" s="1">
        <v>2025126</v>
      </c>
      <c r="D139" s="1" t="s">
        <v>300</v>
      </c>
      <c r="E139" s="5">
        <f t="shared" si="2"/>
        <v>1686</v>
      </c>
      <c r="O139" s="23" t="s">
        <v>328</v>
      </c>
      <c r="P139" s="56">
        <v>2418</v>
      </c>
    </row>
    <row r="140" spans="1:16" x14ac:dyDescent="0.25">
      <c r="A140" s="1">
        <v>29</v>
      </c>
      <c r="B140" s="1" t="s">
        <v>360</v>
      </c>
      <c r="C140" s="1">
        <v>2025127</v>
      </c>
      <c r="D140" s="1" t="s">
        <v>297</v>
      </c>
      <c r="E140" s="5">
        <f t="shared" si="2"/>
        <v>926</v>
      </c>
      <c r="O140" s="23" t="s">
        <v>330</v>
      </c>
      <c r="P140" s="56">
        <v>1706</v>
      </c>
    </row>
    <row r="141" spans="1:16" x14ac:dyDescent="0.25">
      <c r="A141" s="1">
        <v>30</v>
      </c>
      <c r="B141" s="1" t="s">
        <v>362</v>
      </c>
      <c r="C141" s="1">
        <v>2025127</v>
      </c>
      <c r="D141" s="1" t="s">
        <v>300</v>
      </c>
      <c r="E141" s="5">
        <f t="shared" si="2"/>
        <v>1187</v>
      </c>
      <c r="O141" s="22" t="s">
        <v>447</v>
      </c>
      <c r="P141" s="55">
        <v>1230</v>
      </c>
    </row>
    <row r="142" spans="1:16" x14ac:dyDescent="0.25">
      <c r="A142" s="1">
        <v>31</v>
      </c>
      <c r="B142" s="1" t="s">
        <v>364</v>
      </c>
      <c r="C142" s="1">
        <v>2025128</v>
      </c>
      <c r="D142" s="1" t="s">
        <v>297</v>
      </c>
      <c r="E142" s="5">
        <f t="shared" si="2"/>
        <v>2434</v>
      </c>
      <c r="O142" s="22" t="s">
        <v>448</v>
      </c>
      <c r="P142" s="55">
        <v>990</v>
      </c>
    </row>
    <row r="143" spans="1:16" x14ac:dyDescent="0.25">
      <c r="A143" s="1">
        <v>32</v>
      </c>
      <c r="B143" s="1" t="s">
        <v>366</v>
      </c>
      <c r="C143" s="1">
        <v>2025128</v>
      </c>
      <c r="D143" s="1" t="s">
        <v>300</v>
      </c>
      <c r="E143" s="5">
        <f t="shared" si="2"/>
        <v>1076</v>
      </c>
      <c r="O143" s="22" t="s">
        <v>449</v>
      </c>
      <c r="P143" s="55">
        <v>992</v>
      </c>
    </row>
    <row r="144" spans="1:16" x14ac:dyDescent="0.25">
      <c r="A144" s="1">
        <v>169</v>
      </c>
      <c r="C144" s="6">
        <v>2025129</v>
      </c>
      <c r="D144" s="6" t="s">
        <v>297</v>
      </c>
      <c r="E144" s="73">
        <v>1517</v>
      </c>
      <c r="F144" s="5" t="s">
        <v>434</v>
      </c>
      <c r="O144" s="22" t="s">
        <v>450</v>
      </c>
      <c r="P144" s="55">
        <v>377</v>
      </c>
    </row>
    <row r="145" spans="1:16" x14ac:dyDescent="0.25">
      <c r="A145" s="1">
        <v>170</v>
      </c>
      <c r="C145" s="6">
        <v>2025129</v>
      </c>
      <c r="D145" s="6" t="s">
        <v>300</v>
      </c>
      <c r="E145" s="73">
        <v>811</v>
      </c>
      <c r="F145" s="5" t="s">
        <v>434</v>
      </c>
      <c r="O145" s="22" t="s">
        <v>451</v>
      </c>
      <c r="P145" s="55">
        <v>1076</v>
      </c>
    </row>
    <row r="146" spans="1:16" x14ac:dyDescent="0.25">
      <c r="A146" s="1">
        <v>35</v>
      </c>
      <c r="B146" s="1" t="s">
        <v>370</v>
      </c>
      <c r="C146" s="1">
        <v>2025130</v>
      </c>
      <c r="D146" s="1" t="s">
        <v>297</v>
      </c>
      <c r="E146" s="5">
        <f t="shared" si="2"/>
        <v>0</v>
      </c>
      <c r="O146" s="22" t="s">
        <v>452</v>
      </c>
      <c r="P146" s="55">
        <v>803</v>
      </c>
    </row>
    <row r="147" spans="1:16" x14ac:dyDescent="0.25">
      <c r="A147" s="1">
        <v>36</v>
      </c>
      <c r="B147" s="1" t="s">
        <v>371</v>
      </c>
      <c r="C147" s="1">
        <v>2025130</v>
      </c>
      <c r="D147" s="1" t="s">
        <v>300</v>
      </c>
      <c r="E147" s="5">
        <f t="shared" si="2"/>
        <v>125</v>
      </c>
      <c r="O147" s="23" t="s">
        <v>332</v>
      </c>
      <c r="P147" s="56">
        <v>1377</v>
      </c>
    </row>
    <row r="148" spans="1:16" x14ac:dyDescent="0.25">
      <c r="A148" s="1">
        <v>161</v>
      </c>
      <c r="C148" s="6">
        <v>2025131</v>
      </c>
      <c r="D148" s="6" t="s">
        <v>297</v>
      </c>
      <c r="E148" s="74">
        <v>1040</v>
      </c>
      <c r="F148" s="5" t="s">
        <v>434</v>
      </c>
      <c r="O148" s="23" t="s">
        <v>334</v>
      </c>
      <c r="P148" s="56">
        <v>1864</v>
      </c>
    </row>
    <row r="149" spans="1:16" x14ac:dyDescent="0.25">
      <c r="A149" s="1">
        <v>162</v>
      </c>
      <c r="C149" s="6">
        <v>2025131</v>
      </c>
      <c r="D149" s="6" t="s">
        <v>300</v>
      </c>
      <c r="E149" s="74">
        <v>1642</v>
      </c>
      <c r="F149" s="5" t="s">
        <v>434</v>
      </c>
    </row>
    <row r="150" spans="1:16" x14ac:dyDescent="0.25">
      <c r="A150" s="1">
        <v>37</v>
      </c>
      <c r="B150" s="1" t="s">
        <v>372</v>
      </c>
      <c r="C150" s="1">
        <v>2025132</v>
      </c>
      <c r="D150" s="1" t="s">
        <v>297</v>
      </c>
      <c r="E150" s="5">
        <f t="shared" si="2"/>
        <v>821</v>
      </c>
    </row>
    <row r="151" spans="1:16" x14ac:dyDescent="0.25">
      <c r="A151" s="1">
        <v>38</v>
      </c>
      <c r="B151" s="1" t="s">
        <v>374</v>
      </c>
      <c r="C151" s="1">
        <v>2025132</v>
      </c>
      <c r="D151" s="1" t="s">
        <v>300</v>
      </c>
      <c r="E151" s="5">
        <f t="shared" si="2"/>
        <v>561</v>
      </c>
    </row>
    <row r="152" spans="1:16" x14ac:dyDescent="0.25">
      <c r="A152" s="1">
        <v>39</v>
      </c>
      <c r="B152" s="1" t="s">
        <v>376</v>
      </c>
      <c r="C152" s="1">
        <v>2025133</v>
      </c>
      <c r="D152" s="1" t="s">
        <v>297</v>
      </c>
      <c r="E152" s="5">
        <f t="shared" si="2"/>
        <v>951</v>
      </c>
    </row>
    <row r="153" spans="1:16" x14ac:dyDescent="0.25">
      <c r="A153" s="1">
        <v>40</v>
      </c>
      <c r="B153" s="1" t="s">
        <v>378</v>
      </c>
      <c r="C153" s="1">
        <v>2025133</v>
      </c>
      <c r="D153" s="1" t="s">
        <v>300</v>
      </c>
      <c r="E153" s="5">
        <f t="shared" si="2"/>
        <v>573.5</v>
      </c>
    </row>
    <row r="154" spans="1:16" x14ac:dyDescent="0.25">
      <c r="A154" s="1">
        <v>41</v>
      </c>
      <c r="B154" s="1" t="s">
        <v>380</v>
      </c>
      <c r="C154" s="1">
        <v>2025134</v>
      </c>
      <c r="D154" s="1" t="s">
        <v>297</v>
      </c>
      <c r="E154" s="5">
        <f t="shared" si="2"/>
        <v>12</v>
      </c>
    </row>
    <row r="155" spans="1:16" x14ac:dyDescent="0.25">
      <c r="A155" s="1">
        <v>42</v>
      </c>
      <c r="B155" s="1" t="s">
        <v>382</v>
      </c>
      <c r="C155" s="1">
        <v>2025134</v>
      </c>
      <c r="D155" s="1" t="s">
        <v>300</v>
      </c>
      <c r="E155" s="5">
        <f t="shared" si="2"/>
        <v>0</v>
      </c>
    </row>
    <row r="156" spans="1:16" x14ac:dyDescent="0.25">
      <c r="A156" s="1">
        <v>159</v>
      </c>
      <c r="C156" s="6">
        <v>2025135</v>
      </c>
      <c r="D156" s="6" t="s">
        <v>297</v>
      </c>
      <c r="E156" s="5">
        <f t="shared" si="2"/>
        <v>0</v>
      </c>
      <c r="F156" s="5" t="s">
        <v>38</v>
      </c>
    </row>
    <row r="157" spans="1:16" x14ac:dyDescent="0.25">
      <c r="A157" s="1">
        <v>160</v>
      </c>
      <c r="C157" s="6">
        <v>2025135</v>
      </c>
      <c r="D157" s="6" t="s">
        <v>300</v>
      </c>
      <c r="E157" s="5">
        <f t="shared" si="2"/>
        <v>0</v>
      </c>
      <c r="F157" s="5" t="s">
        <v>38</v>
      </c>
    </row>
    <row r="158" spans="1:16" x14ac:dyDescent="0.25">
      <c r="A158" s="1">
        <v>163</v>
      </c>
      <c r="C158" s="6">
        <v>2025136</v>
      </c>
      <c r="D158" s="6" t="s">
        <v>297</v>
      </c>
      <c r="E158" s="75">
        <v>1396</v>
      </c>
      <c r="F158" s="5" t="s">
        <v>434</v>
      </c>
    </row>
    <row r="159" spans="1:16" x14ac:dyDescent="0.25">
      <c r="A159" s="1">
        <v>164</v>
      </c>
      <c r="C159" s="6">
        <v>2025136</v>
      </c>
      <c r="D159" s="6" t="s">
        <v>300</v>
      </c>
      <c r="E159" s="75">
        <v>916</v>
      </c>
      <c r="F159" s="5" t="s">
        <v>434</v>
      </c>
    </row>
    <row r="160" spans="1:16" x14ac:dyDescent="0.25">
      <c r="A160" s="1">
        <v>43</v>
      </c>
      <c r="B160" s="1" t="s">
        <v>384</v>
      </c>
      <c r="C160" s="1">
        <v>2025137</v>
      </c>
      <c r="D160" s="1" t="s">
        <v>297</v>
      </c>
      <c r="E160" s="5">
        <f t="shared" si="2"/>
        <v>1476</v>
      </c>
    </row>
    <row r="161" spans="1:6" x14ac:dyDescent="0.25">
      <c r="A161" s="1">
        <v>44</v>
      </c>
      <c r="B161" s="1" t="s">
        <v>386</v>
      </c>
      <c r="C161" s="1">
        <v>2025137</v>
      </c>
      <c r="D161" s="1" t="s">
        <v>300</v>
      </c>
      <c r="E161" s="5">
        <f t="shared" si="2"/>
        <v>1194</v>
      </c>
    </row>
    <row r="162" spans="1:6" x14ac:dyDescent="0.25">
      <c r="A162" s="1">
        <v>45</v>
      </c>
      <c r="B162" s="1" t="s">
        <v>388</v>
      </c>
      <c r="C162" s="1">
        <v>2025138</v>
      </c>
      <c r="D162" s="1" t="s">
        <v>297</v>
      </c>
      <c r="E162" s="5">
        <f t="shared" si="2"/>
        <v>1220</v>
      </c>
    </row>
    <row r="163" spans="1:6" x14ac:dyDescent="0.25">
      <c r="A163" s="1">
        <v>46</v>
      </c>
      <c r="B163" s="5" t="s">
        <v>390</v>
      </c>
      <c r="C163" s="1">
        <v>2025138</v>
      </c>
      <c r="D163" s="1" t="s">
        <v>300</v>
      </c>
      <c r="E163" s="5">
        <f t="shared" si="2"/>
        <v>2529</v>
      </c>
    </row>
    <row r="164" spans="1:6" x14ac:dyDescent="0.25">
      <c r="A164" s="1">
        <v>167</v>
      </c>
      <c r="C164" s="6">
        <v>2025139</v>
      </c>
      <c r="D164" s="6" t="s">
        <v>297</v>
      </c>
      <c r="E164" s="76">
        <v>780</v>
      </c>
      <c r="F164" s="5" t="s">
        <v>434</v>
      </c>
    </row>
    <row r="165" spans="1:6" x14ac:dyDescent="0.25">
      <c r="A165" s="1">
        <v>168</v>
      </c>
      <c r="C165" s="6">
        <v>2025139</v>
      </c>
      <c r="D165" s="6" t="s">
        <v>300</v>
      </c>
      <c r="E165" s="76">
        <v>557</v>
      </c>
      <c r="F165" s="1" t="s">
        <v>434</v>
      </c>
    </row>
    <row r="166" spans="1:6" x14ac:dyDescent="0.25">
      <c r="A166" s="1">
        <v>49</v>
      </c>
      <c r="B166" s="5" t="s">
        <v>394</v>
      </c>
      <c r="C166" s="1">
        <v>2025140</v>
      </c>
      <c r="D166" s="1" t="s">
        <v>297</v>
      </c>
      <c r="E166" s="5">
        <f t="shared" si="2"/>
        <v>1415</v>
      </c>
    </row>
    <row r="167" spans="1:6" x14ac:dyDescent="0.25">
      <c r="A167" s="1">
        <v>50</v>
      </c>
      <c r="B167" s="5" t="s">
        <v>396</v>
      </c>
      <c r="C167" s="1">
        <v>2025140</v>
      </c>
      <c r="D167" s="1" t="s">
        <v>300</v>
      </c>
      <c r="E167" s="5">
        <f t="shared" si="2"/>
        <v>833</v>
      </c>
    </row>
    <row r="168" spans="1:6" x14ac:dyDescent="0.25">
      <c r="A168" s="1">
        <v>51</v>
      </c>
      <c r="B168" s="5" t="s">
        <v>398</v>
      </c>
      <c r="C168" s="1">
        <v>2025141</v>
      </c>
      <c r="D168" s="1" t="s">
        <v>297</v>
      </c>
      <c r="E168" s="5">
        <f t="shared" si="2"/>
        <v>1552</v>
      </c>
    </row>
    <row r="169" spans="1:6" x14ac:dyDescent="0.25">
      <c r="A169" s="1">
        <v>52</v>
      </c>
      <c r="B169" s="5" t="s">
        <v>400</v>
      </c>
      <c r="C169" s="1">
        <v>2025141</v>
      </c>
      <c r="D169" s="1" t="s">
        <v>300</v>
      </c>
      <c r="E169" s="5">
        <f t="shared" si="2"/>
        <v>561</v>
      </c>
    </row>
    <row r="170" spans="1:6" x14ac:dyDescent="0.25">
      <c r="A170" s="1">
        <v>53</v>
      </c>
      <c r="B170" s="5" t="s">
        <v>402</v>
      </c>
      <c r="C170" s="1">
        <v>2025142</v>
      </c>
      <c r="D170" s="1" t="s">
        <v>297</v>
      </c>
      <c r="E170" s="5">
        <f t="shared" si="2"/>
        <v>2799</v>
      </c>
    </row>
    <row r="171" spans="1:6" x14ac:dyDescent="0.25">
      <c r="A171" s="1">
        <v>54</v>
      </c>
      <c r="B171" s="5" t="s">
        <v>404</v>
      </c>
      <c r="C171" s="1">
        <v>2025142</v>
      </c>
      <c r="D171" s="1" t="s">
        <v>300</v>
      </c>
      <c r="E171" s="5">
        <f t="shared" si="2"/>
        <v>1299</v>
      </c>
    </row>
    <row r="172" spans="1:6" x14ac:dyDescent="0.25">
      <c r="A172" s="1">
        <v>55</v>
      </c>
      <c r="B172" s="5" t="s">
        <v>406</v>
      </c>
      <c r="C172" s="1">
        <v>2025148</v>
      </c>
      <c r="D172" s="1" t="s">
        <v>297</v>
      </c>
      <c r="E172" s="5">
        <f t="shared" si="2"/>
        <v>392</v>
      </c>
    </row>
    <row r="173" spans="1:6" x14ac:dyDescent="0.25">
      <c r="A173" s="1">
        <v>56</v>
      </c>
      <c r="B173" s="5" t="s">
        <v>408</v>
      </c>
      <c r="C173" s="1">
        <v>2025148</v>
      </c>
      <c r="D173" s="1" t="s">
        <v>300</v>
      </c>
      <c r="E173" s="5">
        <f t="shared" si="2"/>
        <v>156</v>
      </c>
    </row>
    <row r="174" spans="1:6" x14ac:dyDescent="0.25">
      <c r="A174" s="1">
        <v>57</v>
      </c>
      <c r="B174" s="5" t="s">
        <v>410</v>
      </c>
      <c r="C174" s="1">
        <v>2025149</v>
      </c>
      <c r="D174" s="1" t="s">
        <v>297</v>
      </c>
      <c r="E174" s="5">
        <f t="shared" si="2"/>
        <v>465</v>
      </c>
    </row>
    <row r="175" spans="1:6" x14ac:dyDescent="0.25">
      <c r="A175" s="1">
        <v>58</v>
      </c>
      <c r="B175" s="5" t="s">
        <v>412</v>
      </c>
      <c r="C175" s="1">
        <v>2025149</v>
      </c>
      <c r="D175" s="1" t="s">
        <v>300</v>
      </c>
      <c r="E175" s="5">
        <f t="shared" si="2"/>
        <v>1025</v>
      </c>
    </row>
    <row r="176" spans="1:6" x14ac:dyDescent="0.25">
      <c r="A176" s="1">
        <v>61</v>
      </c>
      <c r="B176" s="5" t="s">
        <v>414</v>
      </c>
      <c r="C176" s="1">
        <v>2025150</v>
      </c>
      <c r="D176" s="1" t="s">
        <v>297</v>
      </c>
      <c r="E176" s="5">
        <f t="shared" si="2"/>
        <v>931</v>
      </c>
    </row>
    <row r="177" spans="1:5" x14ac:dyDescent="0.25">
      <c r="A177" s="1">
        <v>62</v>
      </c>
      <c r="B177" s="5" t="s">
        <v>415</v>
      </c>
      <c r="C177" s="1">
        <v>2025150</v>
      </c>
      <c r="D177" s="1" t="s">
        <v>300</v>
      </c>
      <c r="E177" s="5">
        <f t="shared" si="2"/>
        <v>712</v>
      </c>
    </row>
    <row r="178" spans="1:5" x14ac:dyDescent="0.25">
      <c r="A178" s="1">
        <v>63</v>
      </c>
      <c r="B178" s="5" t="s">
        <v>416</v>
      </c>
      <c r="C178" s="1">
        <v>2025151</v>
      </c>
      <c r="D178" s="1" t="s">
        <v>297</v>
      </c>
      <c r="E178" s="5">
        <f t="shared" si="2"/>
        <v>510</v>
      </c>
    </row>
    <row r="179" spans="1:5" x14ac:dyDescent="0.25">
      <c r="A179" s="5">
        <v>64</v>
      </c>
      <c r="B179" s="5" t="s">
        <v>418</v>
      </c>
      <c r="C179" s="1">
        <v>2025151</v>
      </c>
      <c r="D179" s="1" t="s">
        <v>300</v>
      </c>
      <c r="E179" s="5">
        <f t="shared" si="2"/>
        <v>557</v>
      </c>
    </row>
  </sheetData>
  <autoFilter ref="A1:F179"/>
  <sortState ref="A2:F148">
    <sortCondition ref="A2:A148"/>
  </sortState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zoomScaleNormal="100" workbookViewId="0">
      <selection activeCell="A9" sqref="A9"/>
    </sheetView>
  </sheetViews>
  <sheetFormatPr defaultColWidth="11.42578125" defaultRowHeight="12" x14ac:dyDescent="0.25"/>
  <cols>
    <col min="1" max="4" width="16" style="33" customWidth="1"/>
    <col min="5" max="5" width="20.140625" style="33" customWidth="1"/>
    <col min="6" max="9" width="16" style="33" customWidth="1"/>
    <col min="10" max="10" width="20.140625" style="33" customWidth="1"/>
    <col min="11" max="16384" width="11.42578125" style="33"/>
  </cols>
  <sheetData>
    <row r="1" spans="1:10" ht="19.5" customHeight="1" x14ac:dyDescent="0.25">
      <c r="A1" s="77"/>
      <c r="B1" s="77"/>
      <c r="C1" s="77"/>
      <c r="D1" s="78" t="s">
        <v>457</v>
      </c>
      <c r="E1" s="78"/>
      <c r="F1" s="78"/>
      <c r="G1" s="78"/>
      <c r="H1" s="78"/>
      <c r="I1" s="78"/>
      <c r="J1" s="32"/>
    </row>
    <row r="2" spans="1:10" ht="19.5" customHeight="1" x14ac:dyDescent="0.25">
      <c r="A2" s="77"/>
      <c r="B2" s="77"/>
      <c r="C2" s="77"/>
      <c r="D2" s="78" t="s">
        <v>458</v>
      </c>
      <c r="E2" s="78"/>
      <c r="F2" s="78"/>
      <c r="G2" s="78"/>
      <c r="H2" s="78"/>
      <c r="I2" s="78"/>
      <c r="J2" s="32"/>
    </row>
    <row r="3" spans="1:10" ht="24.75" customHeight="1" x14ac:dyDescent="0.25">
      <c r="A3" s="77"/>
      <c r="B3" s="77"/>
      <c r="C3" s="77"/>
      <c r="D3" s="79" t="s">
        <v>459</v>
      </c>
      <c r="E3" s="79"/>
      <c r="F3" s="79"/>
      <c r="G3" s="79"/>
      <c r="H3" s="79"/>
      <c r="I3" s="79"/>
      <c r="J3" s="32"/>
    </row>
    <row r="5" spans="1:10" ht="18" customHeight="1" x14ac:dyDescent="0.25">
      <c r="A5" s="80" t="s">
        <v>460</v>
      </c>
      <c r="B5" s="80"/>
      <c r="C5" s="81"/>
      <c r="D5" s="81"/>
    </row>
    <row r="6" spans="1:10" ht="18" customHeight="1" x14ac:dyDescent="0.25">
      <c r="A6" s="80" t="s">
        <v>461</v>
      </c>
      <c r="B6" s="80"/>
      <c r="C6" s="82"/>
      <c r="D6" s="82"/>
    </row>
    <row r="7" spans="1:10" ht="18" customHeight="1" x14ac:dyDescent="0.25">
      <c r="A7" s="80" t="s">
        <v>462</v>
      </c>
      <c r="B7" s="80"/>
      <c r="C7" s="81"/>
      <c r="D7" s="81"/>
    </row>
    <row r="8" spans="1:10" ht="18" customHeight="1" x14ac:dyDescent="0.25">
      <c r="A8" s="80" t="s">
        <v>463</v>
      </c>
      <c r="B8" s="80"/>
      <c r="C8" s="83"/>
      <c r="D8" s="83"/>
    </row>
    <row r="9" spans="1:10" ht="19.5" customHeight="1" x14ac:dyDescent="0.25">
      <c r="A9" s="34"/>
      <c r="B9" s="34"/>
      <c r="C9" s="34"/>
      <c r="D9" s="34"/>
      <c r="E9" s="34"/>
      <c r="F9" s="34"/>
      <c r="G9" s="34"/>
    </row>
    <row r="10" spans="1:10" ht="19.5" customHeight="1" x14ac:dyDescent="0.25">
      <c r="A10" s="35"/>
      <c r="B10" s="85" t="s">
        <v>464</v>
      </c>
      <c r="C10" s="85"/>
      <c r="D10" s="85"/>
      <c r="E10" s="85"/>
      <c r="F10" s="85" t="s">
        <v>465</v>
      </c>
      <c r="G10" s="85"/>
      <c r="H10" s="85"/>
      <c r="I10" s="85"/>
    </row>
    <row r="11" spans="1:10" ht="19.5" customHeight="1" x14ac:dyDescent="0.25">
      <c r="A11" s="86" t="s">
        <v>466</v>
      </c>
      <c r="B11" s="87" t="s">
        <v>467</v>
      </c>
      <c r="C11" s="84" t="s">
        <v>468</v>
      </c>
      <c r="D11" s="88" t="s">
        <v>469</v>
      </c>
      <c r="E11" s="84" t="s">
        <v>470</v>
      </c>
      <c r="F11" s="88" t="s">
        <v>467</v>
      </c>
      <c r="G11" s="84" t="s">
        <v>468</v>
      </c>
      <c r="H11" s="84" t="s">
        <v>471</v>
      </c>
      <c r="I11" s="84" t="s">
        <v>472</v>
      </c>
      <c r="J11" s="84" t="s">
        <v>473</v>
      </c>
    </row>
    <row r="12" spans="1:10" ht="19.5" customHeight="1" x14ac:dyDescent="0.25">
      <c r="A12" s="86"/>
      <c r="B12" s="87"/>
      <c r="C12" s="84"/>
      <c r="D12" s="88"/>
      <c r="E12" s="84"/>
      <c r="F12" s="88"/>
      <c r="G12" s="84"/>
      <c r="H12" s="84"/>
      <c r="I12" s="84"/>
      <c r="J12" s="84"/>
    </row>
    <row r="13" spans="1:10" ht="14.25" customHeight="1" x14ac:dyDescent="0.25">
      <c r="A13" s="36"/>
      <c r="B13" s="37"/>
      <c r="C13" s="38"/>
      <c r="D13" s="39"/>
      <c r="E13" s="40" t="s">
        <v>474</v>
      </c>
      <c r="F13" s="41"/>
      <c r="G13" s="38"/>
      <c r="H13" s="42"/>
      <c r="I13" s="43" t="s">
        <v>474</v>
      </c>
      <c r="J13" s="40" t="s">
        <v>474</v>
      </c>
    </row>
    <row r="14" spans="1:10" ht="14.25" customHeight="1" x14ac:dyDescent="0.25">
      <c r="A14" s="44" t="s">
        <v>545</v>
      </c>
      <c r="B14" s="45">
        <v>78.55</v>
      </c>
      <c r="C14" s="46">
        <v>1</v>
      </c>
      <c r="D14" s="47">
        <v>23.34</v>
      </c>
      <c r="E14" s="48">
        <f t="shared" ref="E14:E19" si="0">(D14*1000/B14)*C14</f>
        <v>297.13558243157223</v>
      </c>
      <c r="F14" s="49">
        <v>187.41</v>
      </c>
      <c r="G14" s="46">
        <v>1</v>
      </c>
      <c r="H14" s="50">
        <v>1.7370000000000001</v>
      </c>
      <c r="I14" s="51">
        <f t="shared" ref="I14:I19" si="1">(H14*1000/F14)*G14</f>
        <v>9.2684488554506164</v>
      </c>
      <c r="J14" s="48">
        <f t="shared" ref="J14:J19" si="2">E14-I14</f>
        <v>287.8671335761216</v>
      </c>
    </row>
    <row r="15" spans="1:10" ht="14.25" customHeight="1" x14ac:dyDescent="0.25">
      <c r="A15" s="44" t="s">
        <v>475</v>
      </c>
      <c r="B15" s="45">
        <v>79.540000000000006</v>
      </c>
      <c r="C15" s="46">
        <v>1</v>
      </c>
      <c r="D15" s="47">
        <v>21.31</v>
      </c>
      <c r="E15" s="48">
        <f t="shared" si="0"/>
        <v>267.91551420668844</v>
      </c>
      <c r="F15" s="49">
        <v>321.11</v>
      </c>
      <c r="G15" s="46">
        <v>1</v>
      </c>
      <c r="H15" s="50">
        <v>1.528</v>
      </c>
      <c r="I15" s="51">
        <f t="shared" si="1"/>
        <v>4.7584939740275916</v>
      </c>
      <c r="J15" s="48">
        <f t="shared" si="2"/>
        <v>263.15702023266084</v>
      </c>
    </row>
    <row r="16" spans="1:10" ht="14.25" customHeight="1" x14ac:dyDescent="0.25">
      <c r="A16" s="44" t="s">
        <v>476</v>
      </c>
      <c r="B16" s="45">
        <v>76</v>
      </c>
      <c r="C16" s="46">
        <v>1</v>
      </c>
      <c r="D16" s="47">
        <v>22.26</v>
      </c>
      <c r="E16" s="48">
        <f t="shared" si="0"/>
        <v>292.89473684210526</v>
      </c>
      <c r="F16" s="49">
        <v>270.07</v>
      </c>
      <c r="G16" s="46">
        <v>1</v>
      </c>
      <c r="H16" s="50">
        <v>2.4089999999999998</v>
      </c>
      <c r="I16" s="51">
        <f t="shared" si="1"/>
        <v>8.9199096530529118</v>
      </c>
      <c r="J16" s="48">
        <f t="shared" si="2"/>
        <v>283.97482718905235</v>
      </c>
    </row>
    <row r="17" spans="1:10" ht="14.25" customHeight="1" x14ac:dyDescent="0.25">
      <c r="A17" s="44" t="s">
        <v>477</v>
      </c>
      <c r="B17" s="45">
        <v>78.48</v>
      </c>
      <c r="C17" s="46">
        <v>1</v>
      </c>
      <c r="D17" s="47">
        <v>22.57</v>
      </c>
      <c r="E17" s="48">
        <f t="shared" si="0"/>
        <v>287.58919469928645</v>
      </c>
      <c r="F17" s="49">
        <v>282.14999999999998</v>
      </c>
      <c r="G17" s="46">
        <v>1</v>
      </c>
      <c r="H17" s="50">
        <v>1.135</v>
      </c>
      <c r="I17" s="51">
        <f t="shared" si="1"/>
        <v>4.0226829700513917</v>
      </c>
      <c r="J17" s="48">
        <f t="shared" si="2"/>
        <v>283.56651172923506</v>
      </c>
    </row>
    <row r="18" spans="1:10" ht="14.25" customHeight="1" x14ac:dyDescent="0.25">
      <c r="A18" s="44" t="s">
        <v>546</v>
      </c>
      <c r="B18" s="45">
        <v>73.34</v>
      </c>
      <c r="C18" s="46">
        <v>1</v>
      </c>
      <c r="D18" s="47">
        <v>21.97</v>
      </c>
      <c r="E18" s="48">
        <f t="shared" si="0"/>
        <v>299.56367602945187</v>
      </c>
      <c r="F18" s="49">
        <v>205.03</v>
      </c>
      <c r="G18" s="46">
        <v>1</v>
      </c>
      <c r="H18" s="50">
        <v>1.839</v>
      </c>
      <c r="I18" s="51">
        <f t="shared" si="1"/>
        <v>8.9694191093986237</v>
      </c>
      <c r="J18" s="48">
        <f t="shared" si="2"/>
        <v>290.59425692005323</v>
      </c>
    </row>
    <row r="19" spans="1:10" ht="14.25" customHeight="1" x14ac:dyDescent="0.25">
      <c r="A19" s="44" t="s">
        <v>478</v>
      </c>
      <c r="B19" s="45">
        <v>71.319999999999993</v>
      </c>
      <c r="C19" s="46">
        <v>1</v>
      </c>
      <c r="D19" s="47">
        <v>20.49</v>
      </c>
      <c r="E19" s="48">
        <f t="shared" si="0"/>
        <v>287.29669097027482</v>
      </c>
      <c r="F19" s="49">
        <v>251.3</v>
      </c>
      <c r="G19" s="46">
        <v>1</v>
      </c>
      <c r="H19" s="50">
        <v>1.516</v>
      </c>
      <c r="I19" s="51">
        <f t="shared" si="1"/>
        <v>6.0326303223239153</v>
      </c>
      <c r="J19" s="48">
        <f t="shared" si="2"/>
        <v>281.26406064795088</v>
      </c>
    </row>
    <row r="20" spans="1:10" ht="14.25" customHeight="1" x14ac:dyDescent="0.25">
      <c r="A20" s="44"/>
      <c r="B20" s="45"/>
      <c r="C20" s="46"/>
      <c r="D20" s="47"/>
      <c r="E20" s="48"/>
      <c r="F20" s="49"/>
      <c r="G20" s="46"/>
      <c r="H20" s="50"/>
      <c r="I20" s="51"/>
      <c r="J20" s="48"/>
    </row>
    <row r="21" spans="1:10" ht="14.25" customHeight="1" x14ac:dyDescent="0.25">
      <c r="A21" s="44" t="s">
        <v>479</v>
      </c>
      <c r="B21" s="45">
        <v>77.400000000000006</v>
      </c>
      <c r="C21" s="46">
        <v>1</v>
      </c>
      <c r="D21" s="47">
        <v>19.61</v>
      </c>
      <c r="E21" s="48">
        <f t="shared" ref="E21:E26" si="3">(D21*1000/B21)*C21</f>
        <v>253.35917312661496</v>
      </c>
      <c r="F21" s="49">
        <v>247.92</v>
      </c>
      <c r="G21" s="46">
        <v>1</v>
      </c>
      <c r="H21" s="50">
        <v>1.0900000000000001</v>
      </c>
      <c r="I21" s="51">
        <f t="shared" ref="I21:I26" si="4">(H21*1000/F21)*G21</f>
        <v>4.3965795417876734</v>
      </c>
      <c r="J21" s="48">
        <f t="shared" ref="J21:J26" si="5">E21-I21</f>
        <v>248.96259358482729</v>
      </c>
    </row>
    <row r="22" spans="1:10" ht="14.25" customHeight="1" x14ac:dyDescent="0.25">
      <c r="A22" s="44" t="s">
        <v>547</v>
      </c>
      <c r="B22" s="45">
        <v>78.98</v>
      </c>
      <c r="C22" s="46">
        <v>1</v>
      </c>
      <c r="D22" s="47">
        <v>19.09</v>
      </c>
      <c r="E22" s="48">
        <f t="shared" si="3"/>
        <v>241.70676120536842</v>
      </c>
      <c r="F22" s="49">
        <v>226.35</v>
      </c>
      <c r="G22" s="46">
        <v>1</v>
      </c>
      <c r="H22" s="50">
        <v>0.87939999999999996</v>
      </c>
      <c r="I22" s="51">
        <f t="shared" si="4"/>
        <v>3.8851336425889111</v>
      </c>
      <c r="J22" s="48">
        <f t="shared" si="5"/>
        <v>237.82162756277953</v>
      </c>
    </row>
    <row r="23" spans="1:10" ht="14.25" customHeight="1" x14ac:dyDescent="0.25">
      <c r="A23" s="44" t="s">
        <v>480</v>
      </c>
      <c r="B23" s="45">
        <v>70.209999999999994</v>
      </c>
      <c r="C23" s="46">
        <v>1</v>
      </c>
      <c r="D23" s="47">
        <v>18.68</v>
      </c>
      <c r="E23" s="48">
        <f t="shared" si="3"/>
        <v>266.05896595926509</v>
      </c>
      <c r="F23" s="49">
        <v>244.33</v>
      </c>
      <c r="G23" s="46">
        <v>1</v>
      </c>
      <c r="H23" s="50">
        <v>1.339</v>
      </c>
      <c r="I23" s="51">
        <f t="shared" si="4"/>
        <v>5.4802930462898534</v>
      </c>
      <c r="J23" s="48">
        <f t="shared" si="5"/>
        <v>260.57867291297526</v>
      </c>
    </row>
    <row r="24" spans="1:10" ht="14.25" customHeight="1" x14ac:dyDescent="0.25">
      <c r="A24" s="44" t="s">
        <v>481</v>
      </c>
      <c r="B24" s="45">
        <v>75.290000000000006</v>
      </c>
      <c r="C24" s="46">
        <v>1</v>
      </c>
      <c r="D24" s="47">
        <v>21.18</v>
      </c>
      <c r="E24" s="48">
        <f t="shared" si="3"/>
        <v>281.31225926417846</v>
      </c>
      <c r="F24" s="49">
        <v>200.61</v>
      </c>
      <c r="G24" s="46">
        <v>1</v>
      </c>
      <c r="H24" s="50">
        <v>0.9385</v>
      </c>
      <c r="I24" s="51">
        <f t="shared" si="4"/>
        <v>4.6782313942475451</v>
      </c>
      <c r="J24" s="48">
        <f t="shared" si="5"/>
        <v>276.63402786993095</v>
      </c>
    </row>
    <row r="25" spans="1:10" ht="14.25" customHeight="1" x14ac:dyDescent="0.25">
      <c r="A25" s="44" t="s">
        <v>482</v>
      </c>
      <c r="B25" s="45">
        <v>72.7</v>
      </c>
      <c r="C25" s="46">
        <v>1</v>
      </c>
      <c r="D25" s="47">
        <v>19.46</v>
      </c>
      <c r="E25" s="48">
        <f t="shared" si="3"/>
        <v>267.67537826685003</v>
      </c>
      <c r="F25" s="49">
        <v>158.75</v>
      </c>
      <c r="G25" s="46">
        <v>1</v>
      </c>
      <c r="H25" s="50">
        <v>0.66890000000000005</v>
      </c>
      <c r="I25" s="51">
        <f t="shared" si="4"/>
        <v>4.2135433070866144</v>
      </c>
      <c r="J25" s="48">
        <f t="shared" si="5"/>
        <v>263.46183495976339</v>
      </c>
    </row>
    <row r="26" spans="1:10" ht="14.25" customHeight="1" x14ac:dyDescent="0.25">
      <c r="A26" s="44" t="s">
        <v>483</v>
      </c>
      <c r="B26" s="45">
        <v>71.37</v>
      </c>
      <c r="C26" s="46">
        <v>1</v>
      </c>
      <c r="D26" s="47">
        <v>19.260000000000002</v>
      </c>
      <c r="E26" s="48">
        <f t="shared" si="3"/>
        <v>269.86128625472884</v>
      </c>
      <c r="F26" s="49">
        <v>265.77</v>
      </c>
      <c r="G26" s="46">
        <v>1</v>
      </c>
      <c r="H26" s="50">
        <v>1.7589999999999999</v>
      </c>
      <c r="I26" s="51">
        <f t="shared" si="4"/>
        <v>6.6185047221281561</v>
      </c>
      <c r="J26" s="48">
        <f t="shared" si="5"/>
        <v>263.2427815326007</v>
      </c>
    </row>
    <row r="27" spans="1:10" ht="14.25" customHeight="1" x14ac:dyDescent="0.25">
      <c r="A27" s="44"/>
      <c r="B27" s="45"/>
      <c r="C27" s="46"/>
      <c r="D27" s="47"/>
      <c r="E27" s="48"/>
      <c r="F27" s="49"/>
      <c r="G27" s="46"/>
      <c r="H27" s="50"/>
      <c r="I27" s="51"/>
      <c r="J27" s="48"/>
    </row>
    <row r="28" spans="1:10" ht="14.25" customHeight="1" x14ac:dyDescent="0.25">
      <c r="A28" s="44" t="s">
        <v>484</v>
      </c>
      <c r="B28" s="45">
        <v>78.52</v>
      </c>
      <c r="C28" s="46">
        <v>1</v>
      </c>
      <c r="D28" s="47">
        <v>24.32</v>
      </c>
      <c r="E28" s="48">
        <f t="shared" ref="E28:E33" si="6">(D28*1000/B28)*C28</f>
        <v>309.7300050942435</v>
      </c>
      <c r="F28" s="49">
        <v>211.87</v>
      </c>
      <c r="G28" s="46">
        <v>1</v>
      </c>
      <c r="H28" s="50">
        <v>2.3180000000000001</v>
      </c>
      <c r="I28" s="51">
        <f t="shared" ref="I28:I33" si="7">(H28*1000/F28)*G28</f>
        <v>10.940671166281209</v>
      </c>
      <c r="J28" s="48">
        <f t="shared" ref="J28:J33" si="8">E28-I28</f>
        <v>298.78933392796228</v>
      </c>
    </row>
    <row r="29" spans="1:10" ht="14.25" customHeight="1" x14ac:dyDescent="0.25">
      <c r="A29" s="44" t="s">
        <v>485</v>
      </c>
      <c r="B29" s="45">
        <v>71.180000000000007</v>
      </c>
      <c r="C29" s="46">
        <v>1</v>
      </c>
      <c r="D29" s="47">
        <v>20.43</v>
      </c>
      <c r="E29" s="48">
        <f t="shared" si="6"/>
        <v>287.01882551278447</v>
      </c>
      <c r="F29" s="49">
        <v>230.9</v>
      </c>
      <c r="G29" s="46">
        <v>1</v>
      </c>
      <c r="H29" s="50">
        <v>1.3680000000000001</v>
      </c>
      <c r="I29" s="51">
        <f t="shared" si="7"/>
        <v>5.924642702468601</v>
      </c>
      <c r="J29" s="48">
        <f t="shared" si="8"/>
        <v>281.09418281031589</v>
      </c>
    </row>
    <row r="30" spans="1:10" ht="14.25" customHeight="1" x14ac:dyDescent="0.25">
      <c r="A30" s="44" t="s">
        <v>486</v>
      </c>
      <c r="B30" s="45">
        <v>74.400000000000006</v>
      </c>
      <c r="C30" s="46">
        <v>1</v>
      </c>
      <c r="D30" s="47">
        <v>21.16</v>
      </c>
      <c r="E30" s="48">
        <f t="shared" si="6"/>
        <v>284.4086021505376</v>
      </c>
      <c r="F30" s="49">
        <v>200.54</v>
      </c>
      <c r="G30" s="46">
        <v>1</v>
      </c>
      <c r="H30" s="50">
        <v>1.54</v>
      </c>
      <c r="I30" s="51">
        <f t="shared" si="7"/>
        <v>7.6792659818490083</v>
      </c>
      <c r="J30" s="48">
        <f t="shared" si="8"/>
        <v>276.72933616868858</v>
      </c>
    </row>
    <row r="31" spans="1:10" ht="14.25" customHeight="1" x14ac:dyDescent="0.25">
      <c r="A31" s="44" t="s">
        <v>487</v>
      </c>
      <c r="B31" s="45">
        <v>72.2</v>
      </c>
      <c r="C31" s="46">
        <v>1</v>
      </c>
      <c r="D31" s="47">
        <v>20.67</v>
      </c>
      <c r="E31" s="48">
        <f t="shared" si="6"/>
        <v>286.28808864265926</v>
      </c>
      <c r="F31" s="49">
        <v>199.92</v>
      </c>
      <c r="G31" s="46">
        <v>1</v>
      </c>
      <c r="H31" s="50">
        <v>1.3069999999999999</v>
      </c>
      <c r="I31" s="51">
        <f t="shared" si="7"/>
        <v>6.5376150460184075</v>
      </c>
      <c r="J31" s="48">
        <f t="shared" si="8"/>
        <v>279.75047359664086</v>
      </c>
    </row>
    <row r="32" spans="1:10" ht="14.25" customHeight="1" x14ac:dyDescent="0.25">
      <c r="A32" s="44" t="s">
        <v>548</v>
      </c>
      <c r="B32" s="45">
        <v>70.680000000000007</v>
      </c>
      <c r="C32" s="46">
        <v>1</v>
      </c>
      <c r="D32" s="47">
        <v>21.47</v>
      </c>
      <c r="E32" s="48">
        <f t="shared" si="6"/>
        <v>303.76344086021504</v>
      </c>
      <c r="F32" s="49">
        <v>233.34</v>
      </c>
      <c r="G32" s="46">
        <v>1</v>
      </c>
      <c r="H32" s="50">
        <v>1.577</v>
      </c>
      <c r="I32" s="51">
        <f t="shared" si="7"/>
        <v>6.7583783320476556</v>
      </c>
      <c r="J32" s="48">
        <f t="shared" si="8"/>
        <v>297.0050625281674</v>
      </c>
    </row>
    <row r="33" spans="1:10" ht="14.25" customHeight="1" x14ac:dyDescent="0.25">
      <c r="A33" s="44" t="s">
        <v>488</v>
      </c>
      <c r="B33" s="45">
        <v>71.760000000000005</v>
      </c>
      <c r="C33" s="46">
        <v>1</v>
      </c>
      <c r="D33" s="47">
        <v>21.87</v>
      </c>
      <c r="E33" s="48">
        <f t="shared" si="6"/>
        <v>304.76588628762539</v>
      </c>
      <c r="F33" s="49">
        <v>214.43</v>
      </c>
      <c r="G33" s="46">
        <v>1</v>
      </c>
      <c r="H33" s="50">
        <v>1.206</v>
      </c>
      <c r="I33" s="51">
        <f t="shared" si="7"/>
        <v>5.6242130298932054</v>
      </c>
      <c r="J33" s="48">
        <f t="shared" si="8"/>
        <v>299.14167325773218</v>
      </c>
    </row>
    <row r="34" spans="1:10" ht="14.25" customHeight="1" x14ac:dyDescent="0.25">
      <c r="A34" s="44"/>
      <c r="B34" s="45"/>
      <c r="C34" s="46"/>
      <c r="D34" s="47"/>
      <c r="E34" s="48"/>
      <c r="F34" s="49"/>
      <c r="G34" s="46"/>
      <c r="H34" s="50"/>
      <c r="I34" s="51"/>
      <c r="J34" s="48"/>
    </row>
    <row r="35" spans="1:10" ht="14.25" customHeight="1" x14ac:dyDescent="0.25">
      <c r="A35" s="44" t="s">
        <v>489</v>
      </c>
      <c r="B35" s="45">
        <v>70.52</v>
      </c>
      <c r="C35" s="46">
        <v>1</v>
      </c>
      <c r="D35" s="47">
        <v>17.850000000000001</v>
      </c>
      <c r="E35" s="48">
        <f t="shared" ref="E35:E40" si="9">(D35*1000/B35)*C35</f>
        <v>253.1196823596143</v>
      </c>
      <c r="F35" s="49">
        <v>189.89</v>
      </c>
      <c r="G35" s="46">
        <v>1</v>
      </c>
      <c r="H35" s="50">
        <v>1.5349999999999999</v>
      </c>
      <c r="I35" s="51">
        <f t="shared" ref="I35:I40" si="10">(H35*1000/F35)*G35</f>
        <v>8.0836273632102795</v>
      </c>
      <c r="J35" s="48">
        <f t="shared" ref="J35:J40" si="11">E35-I35</f>
        <v>245.03605499640403</v>
      </c>
    </row>
    <row r="36" spans="1:10" ht="14.25" customHeight="1" x14ac:dyDescent="0.25">
      <c r="A36" s="44" t="s">
        <v>490</v>
      </c>
      <c r="B36" s="45">
        <v>78.010000000000005</v>
      </c>
      <c r="C36" s="46">
        <v>1</v>
      </c>
      <c r="D36" s="47">
        <v>20.02</v>
      </c>
      <c r="E36" s="48">
        <f t="shared" si="9"/>
        <v>256.63376490193565</v>
      </c>
      <c r="F36" s="49">
        <v>266.81</v>
      </c>
      <c r="G36" s="46">
        <v>1</v>
      </c>
      <c r="H36" s="50">
        <v>1.075</v>
      </c>
      <c r="I36" s="51">
        <f t="shared" si="10"/>
        <v>4.0290843671526551</v>
      </c>
      <c r="J36" s="48">
        <f t="shared" si="11"/>
        <v>252.604680534783</v>
      </c>
    </row>
    <row r="37" spans="1:10" ht="14.25" customHeight="1" x14ac:dyDescent="0.25">
      <c r="A37" s="44" t="s">
        <v>491</v>
      </c>
      <c r="B37" s="45">
        <v>76.260000000000005</v>
      </c>
      <c r="C37" s="46">
        <v>1</v>
      </c>
      <c r="D37" s="47">
        <v>19.3</v>
      </c>
      <c r="E37" s="48">
        <f t="shared" si="9"/>
        <v>253.08156307369524</v>
      </c>
      <c r="F37" s="49">
        <v>203.5</v>
      </c>
      <c r="G37" s="46">
        <v>1</v>
      </c>
      <c r="H37" s="50">
        <v>1.37</v>
      </c>
      <c r="I37" s="51">
        <f t="shared" si="10"/>
        <v>6.7321867321867321</v>
      </c>
      <c r="J37" s="48">
        <f t="shared" si="11"/>
        <v>246.3493763415085</v>
      </c>
    </row>
    <row r="38" spans="1:10" ht="14.25" customHeight="1" x14ac:dyDescent="0.25">
      <c r="A38" s="44" t="s">
        <v>549</v>
      </c>
      <c r="B38" s="45">
        <v>77.64</v>
      </c>
      <c r="C38" s="46">
        <v>1</v>
      </c>
      <c r="D38" s="47">
        <v>20.94</v>
      </c>
      <c r="E38" s="48">
        <f t="shared" si="9"/>
        <v>269.70633693972178</v>
      </c>
      <c r="F38" s="49">
        <v>216.88</v>
      </c>
      <c r="G38" s="46">
        <v>1</v>
      </c>
      <c r="H38" s="50">
        <v>1.151</v>
      </c>
      <c r="I38" s="51">
        <f t="shared" si="10"/>
        <v>5.3070822574695686</v>
      </c>
      <c r="J38" s="48">
        <f t="shared" si="11"/>
        <v>264.39925468225221</v>
      </c>
    </row>
    <row r="39" spans="1:10" ht="14.25" customHeight="1" x14ac:dyDescent="0.25">
      <c r="A39" s="44" t="s">
        <v>550</v>
      </c>
      <c r="B39" s="45">
        <v>72.239999999999995</v>
      </c>
      <c r="C39" s="46">
        <v>1</v>
      </c>
      <c r="D39" s="47">
        <v>20.89</v>
      </c>
      <c r="E39" s="48">
        <f t="shared" si="9"/>
        <v>289.17497231450722</v>
      </c>
      <c r="F39" s="49">
        <v>228.67</v>
      </c>
      <c r="G39" s="46">
        <v>1</v>
      </c>
      <c r="H39" s="50">
        <v>0.82050000000000001</v>
      </c>
      <c r="I39" s="51">
        <f t="shared" si="10"/>
        <v>3.5881401145755896</v>
      </c>
      <c r="J39" s="48">
        <f t="shared" si="11"/>
        <v>285.58683219993162</v>
      </c>
    </row>
    <row r="40" spans="1:10" ht="14.25" customHeight="1" x14ac:dyDescent="0.25">
      <c r="A40" s="44" t="s">
        <v>551</v>
      </c>
      <c r="B40" s="45">
        <v>70.900000000000006</v>
      </c>
      <c r="C40" s="46">
        <v>1</v>
      </c>
      <c r="D40" s="47">
        <v>20.03</v>
      </c>
      <c r="E40" s="48">
        <f t="shared" si="9"/>
        <v>282.51057827926655</v>
      </c>
      <c r="F40" s="49">
        <v>247.39</v>
      </c>
      <c r="G40" s="46">
        <v>1</v>
      </c>
      <c r="H40" s="50">
        <v>1.2529999999999999</v>
      </c>
      <c r="I40" s="51">
        <f t="shared" si="10"/>
        <v>5.06487731921258</v>
      </c>
      <c r="J40" s="48">
        <f t="shared" si="11"/>
        <v>277.44570096005395</v>
      </c>
    </row>
    <row r="41" spans="1:10" ht="14.25" customHeight="1" x14ac:dyDescent="0.25">
      <c r="A41" s="44"/>
      <c r="B41" s="45"/>
      <c r="C41" s="46"/>
      <c r="D41" s="47"/>
      <c r="E41" s="48"/>
      <c r="F41" s="49"/>
      <c r="G41" s="46"/>
      <c r="H41" s="50"/>
      <c r="I41" s="51"/>
      <c r="J41" s="48"/>
    </row>
    <row r="42" spans="1:10" ht="14.25" customHeight="1" x14ac:dyDescent="0.25">
      <c r="A42" s="44" t="s">
        <v>492</v>
      </c>
      <c r="B42" s="45">
        <v>72.83</v>
      </c>
      <c r="C42" s="46">
        <v>1</v>
      </c>
      <c r="D42" s="47">
        <v>22.67</v>
      </c>
      <c r="E42" s="48">
        <f t="shared" ref="E42:E47" si="12">(D42*1000/B42)*C42</f>
        <v>311.27282713167654</v>
      </c>
      <c r="F42" s="49">
        <v>204.77</v>
      </c>
      <c r="G42" s="46">
        <v>1</v>
      </c>
      <c r="H42" s="50">
        <v>1.03</v>
      </c>
      <c r="I42" s="51">
        <f t="shared" ref="I42:I47" si="13">(H42*1000/F42)*G42</f>
        <v>5.0300336963422376</v>
      </c>
      <c r="J42" s="48">
        <f t="shared" ref="J42:J47" si="14">E42-I42</f>
        <v>306.24279343533431</v>
      </c>
    </row>
    <row r="43" spans="1:10" ht="14.25" customHeight="1" x14ac:dyDescent="0.25">
      <c r="A43" s="44" t="s">
        <v>552</v>
      </c>
      <c r="B43" s="45">
        <v>70.86</v>
      </c>
      <c r="C43" s="46">
        <v>1</v>
      </c>
      <c r="D43" s="47">
        <v>19.559999999999999</v>
      </c>
      <c r="E43" s="48">
        <f t="shared" si="12"/>
        <v>276.03725656223537</v>
      </c>
      <c r="F43" s="49">
        <v>211.49</v>
      </c>
      <c r="G43" s="46">
        <v>1</v>
      </c>
      <c r="H43" s="50">
        <v>1.1819999999999999</v>
      </c>
      <c r="I43" s="51">
        <f t="shared" si="13"/>
        <v>5.5889167336517094</v>
      </c>
      <c r="J43" s="48">
        <f t="shared" si="14"/>
        <v>270.44833982858364</v>
      </c>
    </row>
    <row r="44" spans="1:10" ht="14.25" customHeight="1" x14ac:dyDescent="0.25">
      <c r="A44" s="44" t="s">
        <v>493</v>
      </c>
      <c r="B44" s="45">
        <v>71.849999999999994</v>
      </c>
      <c r="C44" s="46">
        <v>1</v>
      </c>
      <c r="D44" s="47">
        <v>19.86</v>
      </c>
      <c r="E44" s="48">
        <f t="shared" si="12"/>
        <v>276.40918580375785</v>
      </c>
      <c r="F44" s="49">
        <v>217.72</v>
      </c>
      <c r="G44" s="46">
        <v>1</v>
      </c>
      <c r="H44" s="50">
        <v>2.1139999999999999</v>
      </c>
      <c r="I44" s="51">
        <f t="shared" si="13"/>
        <v>9.7097189050156167</v>
      </c>
      <c r="J44" s="48">
        <f t="shared" si="14"/>
        <v>266.69946689874223</v>
      </c>
    </row>
    <row r="45" spans="1:10" ht="14.25" customHeight="1" x14ac:dyDescent="0.25">
      <c r="A45" s="44" t="s">
        <v>494</v>
      </c>
      <c r="B45" s="45">
        <v>70.849999999999994</v>
      </c>
      <c r="C45" s="46">
        <v>1</v>
      </c>
      <c r="D45" s="47">
        <v>19.239999999999998</v>
      </c>
      <c r="E45" s="48">
        <f t="shared" si="12"/>
        <v>271.55963302752298</v>
      </c>
      <c r="F45" s="49">
        <v>205.08</v>
      </c>
      <c r="G45" s="46">
        <v>1</v>
      </c>
      <c r="H45" s="50">
        <v>0.92620000000000002</v>
      </c>
      <c r="I45" s="51">
        <f t="shared" si="13"/>
        <v>4.5162863272869123</v>
      </c>
      <c r="J45" s="48">
        <f t="shared" si="14"/>
        <v>267.04334670023604</v>
      </c>
    </row>
    <row r="46" spans="1:10" ht="14.25" customHeight="1" x14ac:dyDescent="0.25">
      <c r="A46" s="44" t="s">
        <v>495</v>
      </c>
      <c r="B46" s="45">
        <v>73.849999999999994</v>
      </c>
      <c r="C46" s="46">
        <v>1</v>
      </c>
      <c r="D46" s="47">
        <v>21.15</v>
      </c>
      <c r="E46" s="48">
        <f t="shared" si="12"/>
        <v>286.39133378469876</v>
      </c>
      <c r="F46" s="49">
        <v>232.37</v>
      </c>
      <c r="G46" s="46">
        <v>1</v>
      </c>
      <c r="H46" s="50">
        <v>1.306</v>
      </c>
      <c r="I46" s="51">
        <f t="shared" si="13"/>
        <v>5.6203468606102334</v>
      </c>
      <c r="J46" s="48">
        <f t="shared" si="14"/>
        <v>280.7709869240885</v>
      </c>
    </row>
    <row r="47" spans="1:10" ht="14.25" customHeight="1" x14ac:dyDescent="0.25">
      <c r="A47" s="44" t="s">
        <v>496</v>
      </c>
      <c r="B47" s="45">
        <v>74.42</v>
      </c>
      <c r="C47" s="46">
        <v>1</v>
      </c>
      <c r="D47" s="47">
        <v>20.22</v>
      </c>
      <c r="E47" s="48">
        <f t="shared" si="12"/>
        <v>271.70115560333244</v>
      </c>
      <c r="F47" s="49">
        <v>240.09</v>
      </c>
      <c r="G47" s="46">
        <v>1</v>
      </c>
      <c r="H47" s="50">
        <v>0.91800000000000004</v>
      </c>
      <c r="I47" s="51">
        <f t="shared" si="13"/>
        <v>3.8235661626889916</v>
      </c>
      <c r="J47" s="48">
        <f t="shared" si="14"/>
        <v>267.87758944064342</v>
      </c>
    </row>
    <row r="48" spans="1:10" ht="14.25" customHeight="1" x14ac:dyDescent="0.25">
      <c r="A48" s="44"/>
      <c r="B48" s="45"/>
      <c r="C48" s="46"/>
      <c r="D48" s="47"/>
      <c r="E48" s="48"/>
      <c r="F48" s="49"/>
      <c r="G48" s="46"/>
      <c r="H48" s="50"/>
      <c r="I48" s="51"/>
      <c r="J48" s="48"/>
    </row>
    <row r="49" spans="1:10" ht="14.25" customHeight="1" x14ac:dyDescent="0.25">
      <c r="A49" s="44" t="s">
        <v>553</v>
      </c>
      <c r="B49" s="45">
        <v>72.86</v>
      </c>
      <c r="C49" s="46">
        <v>1</v>
      </c>
      <c r="D49" s="47">
        <v>30.09</v>
      </c>
      <c r="E49" s="48">
        <f t="shared" ref="E49:E92" si="15">(D49*1000/B49)*C49</f>
        <v>412.98380455668405</v>
      </c>
      <c r="F49" s="49">
        <v>209.51</v>
      </c>
      <c r="G49" s="46">
        <v>1</v>
      </c>
      <c r="H49" s="50">
        <v>1.1819999999999999</v>
      </c>
      <c r="I49" s="51">
        <f t="shared" ref="I49:I54" si="16">(H49*1000/F49)*G49</f>
        <v>5.6417354780201423</v>
      </c>
      <c r="J49" s="48">
        <f t="shared" ref="J49:J54" si="17">E49-I49</f>
        <v>407.34206907866388</v>
      </c>
    </row>
    <row r="50" spans="1:10" ht="14.25" customHeight="1" x14ac:dyDescent="0.25">
      <c r="A50" s="44" t="s">
        <v>497</v>
      </c>
      <c r="B50" s="45">
        <v>77.36</v>
      </c>
      <c r="C50" s="46">
        <v>1</v>
      </c>
      <c r="D50" s="47">
        <v>20.83</v>
      </c>
      <c r="E50" s="48">
        <f t="shared" si="15"/>
        <v>269.26059979317478</v>
      </c>
      <c r="F50" s="49">
        <v>219.9</v>
      </c>
      <c r="G50" s="46">
        <v>1</v>
      </c>
      <c r="H50" s="50">
        <v>1.2549999999999999</v>
      </c>
      <c r="I50" s="51">
        <f t="shared" si="16"/>
        <v>5.7071396089131419</v>
      </c>
      <c r="J50" s="48">
        <f t="shared" si="17"/>
        <v>263.55346018426161</v>
      </c>
    </row>
    <row r="51" spans="1:10" ht="14.25" customHeight="1" x14ac:dyDescent="0.25">
      <c r="A51" s="44" t="s">
        <v>498</v>
      </c>
      <c r="B51" s="45">
        <v>72.73</v>
      </c>
      <c r="C51" s="46">
        <v>1</v>
      </c>
      <c r="D51" s="47">
        <v>19.579999999999998</v>
      </c>
      <c r="E51" s="48">
        <f t="shared" si="15"/>
        <v>269.21490444108343</v>
      </c>
      <c r="F51" s="49">
        <v>220.57</v>
      </c>
      <c r="G51" s="46">
        <v>1</v>
      </c>
      <c r="H51" s="50">
        <v>1.1759999999999999</v>
      </c>
      <c r="I51" s="51">
        <f t="shared" si="16"/>
        <v>5.3316407489685815</v>
      </c>
      <c r="J51" s="48">
        <f t="shared" si="17"/>
        <v>263.88326369211484</v>
      </c>
    </row>
    <row r="52" spans="1:10" ht="14.25" customHeight="1" x14ac:dyDescent="0.25">
      <c r="A52" s="44" t="s">
        <v>499</v>
      </c>
      <c r="B52" s="45">
        <v>71.72</v>
      </c>
      <c r="C52" s="46">
        <v>1</v>
      </c>
      <c r="D52" s="47">
        <v>20.43</v>
      </c>
      <c r="E52" s="48">
        <f t="shared" si="15"/>
        <v>284.85778025655327</v>
      </c>
      <c r="F52" s="49">
        <v>227.49</v>
      </c>
      <c r="G52" s="46">
        <v>1</v>
      </c>
      <c r="H52" s="50">
        <v>1.4910000000000001</v>
      </c>
      <c r="I52" s="51">
        <f t="shared" si="16"/>
        <v>6.5541342476592375</v>
      </c>
      <c r="J52" s="48">
        <f t="shared" si="17"/>
        <v>278.30364600889402</v>
      </c>
    </row>
    <row r="53" spans="1:10" ht="14.25" customHeight="1" x14ac:dyDescent="0.25">
      <c r="A53" s="44" t="s">
        <v>500</v>
      </c>
      <c r="B53" s="45">
        <v>74.63</v>
      </c>
      <c r="C53" s="46">
        <v>1</v>
      </c>
      <c r="D53" s="47">
        <v>21.16</v>
      </c>
      <c r="E53" s="48">
        <f t="shared" si="15"/>
        <v>283.53209165215065</v>
      </c>
      <c r="F53" s="49">
        <v>209.72</v>
      </c>
      <c r="G53" s="46">
        <v>1</v>
      </c>
      <c r="H53" s="50">
        <v>1.3520000000000001</v>
      </c>
      <c r="I53" s="51">
        <f t="shared" si="16"/>
        <v>6.4466908258630555</v>
      </c>
      <c r="J53" s="48">
        <f t="shared" si="17"/>
        <v>277.08540082628758</v>
      </c>
    </row>
    <row r="54" spans="1:10" ht="14.25" customHeight="1" x14ac:dyDescent="0.25">
      <c r="A54" s="44" t="s">
        <v>501</v>
      </c>
      <c r="B54" s="45">
        <v>70.69</v>
      </c>
      <c r="C54" s="46">
        <v>1</v>
      </c>
      <c r="D54" s="47">
        <v>17.940000000000001</v>
      </c>
      <c r="E54" s="48">
        <f t="shared" si="15"/>
        <v>253.78412788230301</v>
      </c>
      <c r="F54" s="49">
        <v>205.56</v>
      </c>
      <c r="G54" s="46">
        <v>1</v>
      </c>
      <c r="H54" s="50">
        <v>0.72870000000000001</v>
      </c>
      <c r="I54" s="51">
        <f t="shared" si="16"/>
        <v>3.5449503794512554</v>
      </c>
      <c r="J54" s="48">
        <f t="shared" si="17"/>
        <v>250.23917750285176</v>
      </c>
    </row>
    <row r="55" spans="1:10" ht="14.25" customHeight="1" x14ac:dyDescent="0.25">
      <c r="A55" s="44"/>
      <c r="B55" s="45"/>
      <c r="C55" s="46"/>
      <c r="D55" s="47"/>
      <c r="E55" s="48"/>
      <c r="F55" s="49"/>
      <c r="G55" s="46"/>
      <c r="H55" s="50"/>
      <c r="I55" s="51"/>
      <c r="J55" s="48"/>
    </row>
    <row r="56" spans="1:10" ht="14.25" customHeight="1" x14ac:dyDescent="0.25">
      <c r="A56" s="44" t="s">
        <v>502</v>
      </c>
      <c r="B56" s="45">
        <v>74.73</v>
      </c>
      <c r="C56" s="46">
        <v>1</v>
      </c>
      <c r="D56" s="47">
        <v>23.49</v>
      </c>
      <c r="E56" s="48">
        <f t="shared" si="15"/>
        <v>314.3315937374548</v>
      </c>
      <c r="F56" s="49">
        <v>211.46</v>
      </c>
      <c r="G56" s="46">
        <v>1</v>
      </c>
      <c r="H56" s="50">
        <v>2.052</v>
      </c>
      <c r="I56" s="51">
        <f t="shared" ref="I56:I62" si="18">(H56*1000/F56)*G56</f>
        <v>9.7039629244301526</v>
      </c>
      <c r="J56" s="48">
        <f t="shared" ref="J56:J62" si="19">E56-I56</f>
        <v>304.62763081302467</v>
      </c>
    </row>
    <row r="57" spans="1:10" ht="14.25" customHeight="1" x14ac:dyDescent="0.25">
      <c r="A57" s="44" t="s">
        <v>503</v>
      </c>
      <c r="B57" s="45">
        <v>73.150000000000006</v>
      </c>
      <c r="C57" s="46">
        <v>1</v>
      </c>
      <c r="D57" s="47">
        <v>19.22</v>
      </c>
      <c r="E57" s="48">
        <f t="shared" si="15"/>
        <v>262.7477785372522</v>
      </c>
      <c r="F57" s="49">
        <v>208.28</v>
      </c>
      <c r="G57" s="46">
        <v>1</v>
      </c>
      <c r="H57" s="50">
        <v>0.76939999999999997</v>
      </c>
      <c r="I57" s="51">
        <f t="shared" si="18"/>
        <v>3.6940656808142882</v>
      </c>
      <c r="J57" s="48">
        <f t="shared" si="19"/>
        <v>259.05371285643793</v>
      </c>
    </row>
    <row r="58" spans="1:10" ht="14.25" customHeight="1" x14ac:dyDescent="0.25">
      <c r="A58" s="44" t="s">
        <v>504</v>
      </c>
      <c r="B58" s="45">
        <v>71.209999999999994</v>
      </c>
      <c r="C58" s="46">
        <v>1</v>
      </c>
      <c r="D58" s="47">
        <v>20.43</v>
      </c>
      <c r="E58" s="48">
        <f t="shared" si="15"/>
        <v>286.89790759724758</v>
      </c>
      <c r="F58" s="49">
        <v>218.99</v>
      </c>
      <c r="G58" s="46">
        <v>1</v>
      </c>
      <c r="H58" s="50">
        <v>0.50880000000000003</v>
      </c>
      <c r="I58" s="51">
        <f t="shared" si="18"/>
        <v>2.32339376227225</v>
      </c>
      <c r="J58" s="48">
        <f t="shared" si="19"/>
        <v>284.57451383497533</v>
      </c>
    </row>
    <row r="59" spans="1:10" ht="14.25" customHeight="1" x14ac:dyDescent="0.25">
      <c r="A59" s="44" t="s">
        <v>505</v>
      </c>
      <c r="B59" s="45">
        <v>73.08</v>
      </c>
      <c r="C59" s="46">
        <v>1</v>
      </c>
      <c r="D59" s="47">
        <v>22.02</v>
      </c>
      <c r="E59" s="48">
        <f t="shared" si="15"/>
        <v>301.31362889983581</v>
      </c>
      <c r="F59" s="49">
        <v>202.53</v>
      </c>
      <c r="G59" s="46">
        <v>1</v>
      </c>
      <c r="H59" s="50">
        <v>0.5071</v>
      </c>
      <c r="I59" s="51">
        <f t="shared" si="18"/>
        <v>2.5038265935910728</v>
      </c>
      <c r="J59" s="48">
        <f t="shared" si="19"/>
        <v>298.80980230624471</v>
      </c>
    </row>
    <row r="60" spans="1:10" ht="14.25" customHeight="1" x14ac:dyDescent="0.25">
      <c r="A60" s="44" t="s">
        <v>506</v>
      </c>
      <c r="B60" s="45">
        <v>76.14</v>
      </c>
      <c r="C60" s="46">
        <v>1</v>
      </c>
      <c r="D60" s="47">
        <v>23.83</v>
      </c>
      <c r="E60" s="48">
        <f t="shared" si="15"/>
        <v>312.97609666403991</v>
      </c>
      <c r="F60" s="49">
        <v>215.17</v>
      </c>
      <c r="G60" s="46">
        <v>1</v>
      </c>
      <c r="H60" s="50">
        <v>0.53690000000000004</v>
      </c>
      <c r="I60" s="51">
        <f t="shared" si="18"/>
        <v>2.4952363247664642</v>
      </c>
      <c r="J60" s="48">
        <f t="shared" si="19"/>
        <v>310.48086033927348</v>
      </c>
    </row>
    <row r="61" spans="1:10" ht="14.25" customHeight="1" x14ac:dyDescent="0.25">
      <c r="A61" s="44" t="s">
        <v>554</v>
      </c>
      <c r="B61" s="45">
        <v>76.67</v>
      </c>
      <c r="C61" s="46">
        <v>1</v>
      </c>
      <c r="D61" s="47">
        <v>23.6</v>
      </c>
      <c r="E61" s="48">
        <f t="shared" si="15"/>
        <v>307.81270379548715</v>
      </c>
      <c r="F61" s="49">
        <v>201.56</v>
      </c>
      <c r="G61" s="46">
        <v>1</v>
      </c>
      <c r="H61" s="50">
        <v>1.4849000000000001</v>
      </c>
      <c r="I61" s="51">
        <f t="shared" si="18"/>
        <v>7.3670371105378054</v>
      </c>
      <c r="J61" s="48">
        <f t="shared" si="19"/>
        <v>300.44566668494934</v>
      </c>
    </row>
    <row r="62" spans="1:10" ht="14.25" customHeight="1" x14ac:dyDescent="0.25">
      <c r="A62" s="44" t="s">
        <v>507</v>
      </c>
      <c r="B62" s="45">
        <v>71</v>
      </c>
      <c r="C62" s="46">
        <v>1</v>
      </c>
      <c r="D62" s="47">
        <v>21.58</v>
      </c>
      <c r="E62" s="48">
        <f t="shared" si="15"/>
        <v>303.94366197183098</v>
      </c>
      <c r="F62" s="49">
        <v>211.32</v>
      </c>
      <c r="G62" s="46">
        <v>1</v>
      </c>
      <c r="H62" s="50">
        <v>1.512</v>
      </c>
      <c r="I62" s="51">
        <f t="shared" si="18"/>
        <v>7.1550255536626919</v>
      </c>
      <c r="J62" s="48">
        <f t="shared" si="19"/>
        <v>296.78863641816827</v>
      </c>
    </row>
    <row r="63" spans="1:10" ht="14.25" customHeight="1" x14ac:dyDescent="0.25">
      <c r="A63" s="44"/>
      <c r="B63" s="45"/>
      <c r="C63" s="46"/>
      <c r="D63" s="47"/>
      <c r="E63" s="48"/>
      <c r="F63" s="49"/>
      <c r="G63" s="46"/>
      <c r="H63" s="50"/>
      <c r="I63" s="51"/>
      <c r="J63" s="48"/>
    </row>
    <row r="64" spans="1:10" ht="14.25" customHeight="1" x14ac:dyDescent="0.25">
      <c r="A64" s="44" t="s">
        <v>508</v>
      </c>
      <c r="B64" s="45">
        <v>71.97</v>
      </c>
      <c r="C64" s="46">
        <v>1</v>
      </c>
      <c r="D64" s="47">
        <v>15.46</v>
      </c>
      <c r="E64" s="48">
        <f t="shared" si="15"/>
        <v>214.81172710851743</v>
      </c>
      <c r="F64" s="49">
        <v>205.3</v>
      </c>
      <c r="G64" s="46">
        <v>1</v>
      </c>
      <c r="H64" s="50">
        <v>2.879</v>
      </c>
      <c r="I64" s="51">
        <f t="shared" ref="I64:I70" si="20">(H64*1000/F64)*G64</f>
        <v>14.023380418899171</v>
      </c>
      <c r="J64" s="48">
        <f t="shared" ref="J64:J70" si="21">E64-I64</f>
        <v>200.78834668961827</v>
      </c>
    </row>
    <row r="65" spans="1:10" ht="14.25" customHeight="1" x14ac:dyDescent="0.25">
      <c r="A65" s="44" t="s">
        <v>509</v>
      </c>
      <c r="B65" s="45">
        <v>71.650000000000006</v>
      </c>
      <c r="C65" s="46">
        <v>1</v>
      </c>
      <c r="D65" s="47">
        <v>17.59</v>
      </c>
      <c r="E65" s="48">
        <f t="shared" si="15"/>
        <v>245.49895324494065</v>
      </c>
      <c r="F65" s="49">
        <v>201.37</v>
      </c>
      <c r="G65" s="46">
        <v>1</v>
      </c>
      <c r="H65" s="50">
        <v>0.62519999999999998</v>
      </c>
      <c r="I65" s="51">
        <f t="shared" si="20"/>
        <v>3.1047325818145697</v>
      </c>
      <c r="J65" s="48">
        <f t="shared" si="21"/>
        <v>242.39422066312608</v>
      </c>
    </row>
    <row r="66" spans="1:10" ht="14.25" customHeight="1" x14ac:dyDescent="0.25">
      <c r="A66" s="44" t="s">
        <v>510</v>
      </c>
      <c r="B66" s="45">
        <v>77.02</v>
      </c>
      <c r="C66" s="46">
        <v>1</v>
      </c>
      <c r="D66" s="47">
        <v>19.96</v>
      </c>
      <c r="E66" s="48">
        <f t="shared" si="15"/>
        <v>259.15346663204366</v>
      </c>
      <c r="F66" s="49">
        <v>212</v>
      </c>
      <c r="G66" s="46">
        <v>1</v>
      </c>
      <c r="H66" s="50">
        <v>1.6419999999999999</v>
      </c>
      <c r="I66" s="51">
        <f t="shared" si="20"/>
        <v>7.7452830188679247</v>
      </c>
      <c r="J66" s="48">
        <f t="shared" si="21"/>
        <v>251.40818361317574</v>
      </c>
    </row>
    <row r="67" spans="1:10" ht="14.25" customHeight="1" x14ac:dyDescent="0.25">
      <c r="A67" s="44" t="s">
        <v>511</v>
      </c>
      <c r="B67" s="45">
        <v>77.510000000000005</v>
      </c>
      <c r="C67" s="46">
        <v>1</v>
      </c>
      <c r="D67" s="47">
        <v>20.100000000000001</v>
      </c>
      <c r="E67" s="48">
        <f t="shared" si="15"/>
        <v>259.32137788672429</v>
      </c>
      <c r="F67" s="49">
        <v>211.54</v>
      </c>
      <c r="G67" s="46">
        <v>1</v>
      </c>
      <c r="H67" s="50">
        <v>1.006</v>
      </c>
      <c r="I67" s="51">
        <f t="shared" si="20"/>
        <v>4.755601777441619</v>
      </c>
      <c r="J67" s="48">
        <f t="shared" si="21"/>
        <v>254.56577610928267</v>
      </c>
    </row>
    <row r="68" spans="1:10" ht="14.25" customHeight="1" x14ac:dyDescent="0.25">
      <c r="A68" s="44" t="s">
        <v>555</v>
      </c>
      <c r="B68" s="45">
        <v>74.8</v>
      </c>
      <c r="C68" s="46">
        <v>1</v>
      </c>
      <c r="D68" s="47">
        <v>23.22</v>
      </c>
      <c r="E68" s="48">
        <f t="shared" si="15"/>
        <v>310.42780748663102</v>
      </c>
      <c r="F68" s="49">
        <v>209.63</v>
      </c>
      <c r="G68" s="46">
        <v>1</v>
      </c>
      <c r="H68" s="50">
        <v>1.194</v>
      </c>
      <c r="I68" s="51">
        <f t="shared" si="20"/>
        <v>5.6957496541525545</v>
      </c>
      <c r="J68" s="48">
        <f t="shared" si="21"/>
        <v>304.73205783247846</v>
      </c>
    </row>
    <row r="69" spans="1:10" ht="14.25" customHeight="1" x14ac:dyDescent="0.25">
      <c r="A69" s="44" t="s">
        <v>512</v>
      </c>
      <c r="B69" s="45">
        <v>75.38</v>
      </c>
      <c r="C69" s="46">
        <v>1</v>
      </c>
      <c r="D69" s="47">
        <v>20.8</v>
      </c>
      <c r="E69" s="48">
        <f t="shared" si="15"/>
        <v>275.93526134253119</v>
      </c>
      <c r="F69" s="49">
        <v>208.89</v>
      </c>
      <c r="G69" s="46">
        <v>1</v>
      </c>
      <c r="H69" s="50">
        <v>1.024</v>
      </c>
      <c r="I69" s="51">
        <f t="shared" si="20"/>
        <v>4.9021015845660401</v>
      </c>
      <c r="J69" s="48">
        <f t="shared" si="21"/>
        <v>271.03315975796517</v>
      </c>
    </row>
    <row r="70" spans="1:10" ht="14.25" customHeight="1" x14ac:dyDescent="0.25">
      <c r="A70" s="44" t="s">
        <v>513</v>
      </c>
      <c r="B70" s="45">
        <v>72.09</v>
      </c>
      <c r="C70" s="46">
        <v>1</v>
      </c>
      <c r="D70" s="47">
        <v>17.09</v>
      </c>
      <c r="E70" s="48">
        <f t="shared" si="15"/>
        <v>237.06478013594116</v>
      </c>
      <c r="F70" s="49">
        <v>214.72</v>
      </c>
      <c r="G70" s="46">
        <v>1</v>
      </c>
      <c r="H70" s="50">
        <v>0.43509999999999999</v>
      </c>
      <c r="I70" s="51">
        <f t="shared" si="20"/>
        <v>2.0263599105812218</v>
      </c>
      <c r="J70" s="48">
        <f t="shared" si="21"/>
        <v>235.03842022535994</v>
      </c>
    </row>
    <row r="71" spans="1:10" ht="14.25" customHeight="1" x14ac:dyDescent="0.25">
      <c r="A71" s="44"/>
      <c r="B71" s="45"/>
      <c r="C71" s="46"/>
      <c r="D71" s="47"/>
      <c r="E71" s="48"/>
      <c r="F71" s="49"/>
      <c r="G71" s="46"/>
      <c r="H71" s="50"/>
      <c r="I71" s="51"/>
      <c r="J71" s="48"/>
    </row>
    <row r="72" spans="1:10" ht="14.25" customHeight="1" x14ac:dyDescent="0.25">
      <c r="A72" s="44" t="s">
        <v>527</v>
      </c>
      <c r="B72" s="45">
        <v>70.150000000000006</v>
      </c>
      <c r="C72" s="46">
        <v>1</v>
      </c>
      <c r="D72" s="47">
        <v>22.38</v>
      </c>
      <c r="E72" s="48">
        <f t="shared" si="15"/>
        <v>319.03064861012115</v>
      </c>
      <c r="F72" s="49">
        <v>226.21</v>
      </c>
      <c r="G72" s="46">
        <v>1</v>
      </c>
      <c r="H72" s="50">
        <v>1.8839999999999999</v>
      </c>
      <c r="I72" s="51">
        <f t="shared" ref="I72:I76" si="22">(H72*1000/F72)*G72</f>
        <v>8.3285442730206434</v>
      </c>
      <c r="J72" s="48">
        <f t="shared" ref="J72:J76" si="23">E72-I72</f>
        <v>310.70210433710048</v>
      </c>
    </row>
    <row r="73" spans="1:10" ht="14.25" customHeight="1" x14ac:dyDescent="0.25">
      <c r="A73" s="44" t="s">
        <v>528</v>
      </c>
      <c r="B73" s="45">
        <v>75.31</v>
      </c>
      <c r="C73" s="46">
        <v>1</v>
      </c>
      <c r="D73" s="47">
        <v>22.2</v>
      </c>
      <c r="E73" s="48">
        <f t="shared" si="15"/>
        <v>294.7815695126809</v>
      </c>
      <c r="F73" s="49">
        <v>200.58</v>
      </c>
      <c r="G73" s="46">
        <v>1</v>
      </c>
      <c r="H73" s="50">
        <v>1.0369999999999999</v>
      </c>
      <c r="I73" s="51">
        <f t="shared" si="22"/>
        <v>5.1700069797586998</v>
      </c>
      <c r="J73" s="48">
        <f t="shared" si="23"/>
        <v>289.61156253292222</v>
      </c>
    </row>
    <row r="74" spans="1:10" ht="14.25" customHeight="1" x14ac:dyDescent="0.25">
      <c r="A74" s="44" t="s">
        <v>529</v>
      </c>
      <c r="B74" s="45">
        <v>72.44</v>
      </c>
      <c r="C74" s="46">
        <v>1</v>
      </c>
      <c r="D74" s="47">
        <v>23.37</v>
      </c>
      <c r="E74" s="48">
        <f t="shared" si="15"/>
        <v>322.6118166758697</v>
      </c>
      <c r="F74" s="49">
        <v>203.4</v>
      </c>
      <c r="G74" s="46">
        <v>1</v>
      </c>
      <c r="H74" s="50">
        <v>0.2777</v>
      </c>
      <c r="I74" s="51">
        <f t="shared" si="22"/>
        <v>1.3652900688298917</v>
      </c>
      <c r="J74" s="48">
        <f t="shared" si="23"/>
        <v>321.24652660703981</v>
      </c>
    </row>
    <row r="75" spans="1:10" ht="14.25" customHeight="1" x14ac:dyDescent="0.25">
      <c r="A75" s="44" t="s">
        <v>530</v>
      </c>
      <c r="B75" s="45">
        <v>78.14</v>
      </c>
      <c r="C75" s="46">
        <v>1</v>
      </c>
      <c r="D75" s="47">
        <v>23.36</v>
      </c>
      <c r="E75" s="48">
        <f t="shared" si="15"/>
        <v>298.95060148451495</v>
      </c>
      <c r="F75" s="49">
        <v>207.98</v>
      </c>
      <c r="G75" s="46">
        <v>1</v>
      </c>
      <c r="H75" s="50">
        <v>0.6583</v>
      </c>
      <c r="I75" s="51">
        <f t="shared" si="22"/>
        <v>3.1652081930954901</v>
      </c>
      <c r="J75" s="48">
        <f t="shared" si="23"/>
        <v>295.78539329141944</v>
      </c>
    </row>
    <row r="76" spans="1:10" ht="14.25" customHeight="1" x14ac:dyDescent="0.25">
      <c r="A76" s="44" t="s">
        <v>531</v>
      </c>
      <c r="B76" s="45">
        <v>70.52</v>
      </c>
      <c r="C76" s="46">
        <v>1</v>
      </c>
      <c r="D76" s="47">
        <v>20.329999999999998</v>
      </c>
      <c r="E76" s="48">
        <f t="shared" si="15"/>
        <v>288.2870107770845</v>
      </c>
      <c r="F76" s="49">
        <v>219.22</v>
      </c>
      <c r="G76" s="46">
        <v>1</v>
      </c>
      <c r="H76" s="50">
        <v>0.94920000000000004</v>
      </c>
      <c r="I76" s="51">
        <f t="shared" si="22"/>
        <v>4.3298969072164954</v>
      </c>
      <c r="J76" s="48">
        <f t="shared" si="23"/>
        <v>283.95711386986801</v>
      </c>
    </row>
    <row r="77" spans="1:10" ht="14.25" customHeight="1" x14ac:dyDescent="0.25">
      <c r="A77" s="44"/>
      <c r="B77" s="45"/>
      <c r="C77" s="46"/>
      <c r="D77" s="47"/>
      <c r="E77" s="48"/>
      <c r="F77" s="49"/>
      <c r="G77" s="46"/>
      <c r="H77" s="50"/>
      <c r="I77" s="51"/>
      <c r="J77" s="48"/>
    </row>
    <row r="78" spans="1:10" ht="14.25" customHeight="1" x14ac:dyDescent="0.25">
      <c r="A78" s="44" t="s">
        <v>532</v>
      </c>
      <c r="B78" s="45">
        <v>70.91</v>
      </c>
      <c r="C78" s="46">
        <v>1</v>
      </c>
      <c r="D78" s="47">
        <v>16.93</v>
      </c>
      <c r="E78" s="48">
        <f t="shared" si="15"/>
        <v>238.75334931603442</v>
      </c>
      <c r="F78" s="49">
        <v>234.58</v>
      </c>
      <c r="G78" s="46">
        <v>1</v>
      </c>
      <c r="H78" s="50">
        <v>0.74280000000000002</v>
      </c>
      <c r="I78" s="51">
        <f t="shared" ref="I78:I82" si="24">(H78*1000/F78)*G78</f>
        <v>3.166510358939381</v>
      </c>
      <c r="J78" s="48">
        <f t="shared" ref="J78:J82" si="25">E78-I78</f>
        <v>235.58683895709504</v>
      </c>
    </row>
    <row r="79" spans="1:10" ht="14.25" customHeight="1" x14ac:dyDescent="0.25">
      <c r="A79" s="44" t="s">
        <v>533</v>
      </c>
      <c r="B79" s="45">
        <v>79.260000000000005</v>
      </c>
      <c r="C79" s="46">
        <v>1</v>
      </c>
      <c r="D79" s="47">
        <v>21.04</v>
      </c>
      <c r="E79" s="48">
        <f t="shared" si="15"/>
        <v>265.45546303305576</v>
      </c>
      <c r="F79" s="49">
        <v>202.92</v>
      </c>
      <c r="G79" s="46">
        <v>1</v>
      </c>
      <c r="H79" s="50">
        <v>0.46689999999999998</v>
      </c>
      <c r="I79" s="51">
        <f t="shared" si="24"/>
        <v>2.3009067612852356</v>
      </c>
      <c r="J79" s="48">
        <f t="shared" si="25"/>
        <v>263.1545562717705</v>
      </c>
    </row>
    <row r="80" spans="1:10" ht="14.25" customHeight="1" x14ac:dyDescent="0.25">
      <c r="A80" s="44" t="s">
        <v>534</v>
      </c>
      <c r="B80" s="45">
        <v>71.790000000000006</v>
      </c>
      <c r="C80" s="46">
        <v>1</v>
      </c>
      <c r="D80" s="47">
        <v>16.05</v>
      </c>
      <c r="E80" s="48">
        <f t="shared" si="15"/>
        <v>223.56874216464686</v>
      </c>
      <c r="F80" s="49">
        <v>217.38</v>
      </c>
      <c r="G80" s="46">
        <v>1</v>
      </c>
      <c r="H80" s="50">
        <v>0.93279999999999996</v>
      </c>
      <c r="I80" s="51">
        <f t="shared" si="24"/>
        <v>4.2911031373631427</v>
      </c>
      <c r="J80" s="48">
        <f t="shared" si="25"/>
        <v>219.27763902728373</v>
      </c>
    </row>
    <row r="81" spans="1:10" ht="14.25" customHeight="1" x14ac:dyDescent="0.25">
      <c r="A81" s="44" t="s">
        <v>535</v>
      </c>
      <c r="B81" s="45">
        <v>77.47</v>
      </c>
      <c r="C81" s="46">
        <v>1</v>
      </c>
      <c r="D81" s="47">
        <v>19.59</v>
      </c>
      <c r="E81" s="48">
        <f t="shared" si="15"/>
        <v>252.87207951465084</v>
      </c>
      <c r="F81" s="49">
        <v>214.68</v>
      </c>
      <c r="G81" s="46">
        <v>1</v>
      </c>
      <c r="H81" s="50">
        <v>0.83840000000000003</v>
      </c>
      <c r="I81" s="51">
        <f t="shared" si="24"/>
        <v>3.9053474939444759</v>
      </c>
      <c r="J81" s="48">
        <f t="shared" si="25"/>
        <v>248.96673202070636</v>
      </c>
    </row>
    <row r="82" spans="1:10" ht="14.25" customHeight="1" x14ac:dyDescent="0.25">
      <c r="A82" s="44" t="s">
        <v>536</v>
      </c>
      <c r="B82" s="45">
        <v>75.41</v>
      </c>
      <c r="C82" s="46">
        <v>1</v>
      </c>
      <c r="D82" s="47">
        <v>19.3</v>
      </c>
      <c r="E82" s="48">
        <f t="shared" si="15"/>
        <v>255.93422622994299</v>
      </c>
      <c r="F82" s="49">
        <v>222.34</v>
      </c>
      <c r="G82" s="46">
        <v>1</v>
      </c>
      <c r="H82" s="50">
        <v>1.0329999999999999</v>
      </c>
      <c r="I82" s="51">
        <f t="shared" si="24"/>
        <v>4.6460376000719616</v>
      </c>
      <c r="J82" s="48">
        <f t="shared" si="25"/>
        <v>251.28818862987103</v>
      </c>
    </row>
    <row r="83" spans="1:10" ht="14.25" customHeight="1" x14ac:dyDescent="0.25">
      <c r="A83" s="44"/>
      <c r="B83" s="45"/>
      <c r="C83" s="46"/>
      <c r="D83" s="47"/>
      <c r="E83" s="48"/>
      <c r="F83" s="49"/>
      <c r="G83" s="46"/>
      <c r="H83" s="50"/>
      <c r="I83" s="51"/>
      <c r="J83" s="48"/>
    </row>
    <row r="84" spans="1:10" ht="14.25" customHeight="1" x14ac:dyDescent="0.25">
      <c r="A84" s="44" t="s">
        <v>537</v>
      </c>
      <c r="B84" s="45">
        <v>76.77</v>
      </c>
      <c r="C84" s="46">
        <v>1</v>
      </c>
      <c r="D84" s="47">
        <v>21.82</v>
      </c>
      <c r="E84" s="48">
        <f t="shared" si="15"/>
        <v>284.22560896183404</v>
      </c>
      <c r="F84" s="49">
        <v>202.31</v>
      </c>
      <c r="G84" s="46">
        <v>1</v>
      </c>
      <c r="H84" s="50">
        <v>1.6120000000000001</v>
      </c>
      <c r="I84" s="51">
        <f t="shared" ref="I84:I92" si="26">(H84*1000/F84)*G84</f>
        <v>7.9679699471108698</v>
      </c>
      <c r="J84" s="48">
        <f t="shared" ref="J84:J92" si="27">E84-I84</f>
        <v>276.25763901472317</v>
      </c>
    </row>
    <row r="85" spans="1:10" ht="14.25" customHeight="1" x14ac:dyDescent="0.25">
      <c r="A85" s="44" t="s">
        <v>538</v>
      </c>
      <c r="B85" s="45">
        <v>70.739999999999995</v>
      </c>
      <c r="C85" s="46">
        <v>1</v>
      </c>
      <c r="D85" s="47">
        <v>19.760000000000002</v>
      </c>
      <c r="E85" s="48">
        <f t="shared" si="15"/>
        <v>279.33276788238624</v>
      </c>
      <c r="F85" s="49">
        <v>203.01</v>
      </c>
      <c r="G85" s="46">
        <v>1</v>
      </c>
      <c r="H85" s="50">
        <v>0.40550000000000003</v>
      </c>
      <c r="I85" s="51">
        <f t="shared" si="26"/>
        <v>1.9974385498251319</v>
      </c>
      <c r="J85" s="48">
        <f t="shared" si="27"/>
        <v>277.33532933256112</v>
      </c>
    </row>
    <row r="86" spans="1:10" ht="14.25" customHeight="1" x14ac:dyDescent="0.25">
      <c r="A86" s="44" t="s">
        <v>539</v>
      </c>
      <c r="B86" s="45">
        <v>76.7</v>
      </c>
      <c r="C86" s="46">
        <v>1</v>
      </c>
      <c r="D86" s="47">
        <v>23.23</v>
      </c>
      <c r="E86" s="48">
        <f t="shared" si="15"/>
        <v>302.86831812255542</v>
      </c>
      <c r="F86" s="49">
        <v>209.94</v>
      </c>
      <c r="G86" s="46">
        <v>1</v>
      </c>
      <c r="H86" s="50">
        <v>1.333</v>
      </c>
      <c r="I86" s="51">
        <f t="shared" si="26"/>
        <v>6.3494331713822998</v>
      </c>
      <c r="J86" s="48">
        <f t="shared" si="27"/>
        <v>296.51888495117311</v>
      </c>
    </row>
    <row r="87" spans="1:10" ht="14.25" customHeight="1" x14ac:dyDescent="0.25">
      <c r="A87" s="44" t="s">
        <v>540</v>
      </c>
      <c r="B87" s="45">
        <v>71.72</v>
      </c>
      <c r="C87" s="46">
        <v>1</v>
      </c>
      <c r="D87" s="47">
        <v>20.49</v>
      </c>
      <c r="E87" s="48">
        <f t="shared" si="15"/>
        <v>285.69436698271056</v>
      </c>
      <c r="F87" s="49">
        <v>202.43</v>
      </c>
      <c r="G87" s="46">
        <v>1</v>
      </c>
      <c r="H87" s="50">
        <v>0</v>
      </c>
      <c r="I87" s="51">
        <f t="shared" si="26"/>
        <v>0</v>
      </c>
      <c r="J87" s="48">
        <f t="shared" si="27"/>
        <v>285.69436698271056</v>
      </c>
    </row>
    <row r="88" spans="1:10" ht="14.25" customHeight="1" x14ac:dyDescent="0.25">
      <c r="A88" s="44"/>
      <c r="B88" s="45"/>
      <c r="C88" s="46"/>
      <c r="D88" s="47"/>
      <c r="E88" s="48"/>
      <c r="F88" s="49"/>
      <c r="G88" s="46"/>
      <c r="H88" s="50"/>
      <c r="I88" s="51"/>
      <c r="J88" s="48"/>
    </row>
    <row r="89" spans="1:10" ht="14.25" customHeight="1" x14ac:dyDescent="0.25">
      <c r="A89" s="44" t="s">
        <v>541</v>
      </c>
      <c r="B89" s="45">
        <v>72.19</v>
      </c>
      <c r="C89" s="46">
        <v>1</v>
      </c>
      <c r="D89" s="47">
        <v>16.66</v>
      </c>
      <c r="E89" s="48">
        <f t="shared" si="15"/>
        <v>230.77988641086023</v>
      </c>
      <c r="F89" s="49">
        <v>201.97</v>
      </c>
      <c r="G89" s="46">
        <v>1</v>
      </c>
      <c r="H89" s="50">
        <v>1.1459999999999999</v>
      </c>
      <c r="I89" s="51">
        <f t="shared" si="26"/>
        <v>5.6741100163390605</v>
      </c>
      <c r="J89" s="48">
        <f t="shared" si="27"/>
        <v>225.10577639452117</v>
      </c>
    </row>
    <row r="90" spans="1:10" ht="14.25" customHeight="1" x14ac:dyDescent="0.25">
      <c r="A90" s="44" t="s">
        <v>542</v>
      </c>
      <c r="B90" s="45">
        <v>75.75</v>
      </c>
      <c r="C90" s="46">
        <v>1</v>
      </c>
      <c r="D90" s="47">
        <v>18.14</v>
      </c>
      <c r="E90" s="48">
        <f t="shared" si="15"/>
        <v>239.47194719471946</v>
      </c>
      <c r="F90" s="49">
        <v>212.14</v>
      </c>
      <c r="G90" s="46">
        <v>1</v>
      </c>
      <c r="H90" s="50">
        <v>0.25940000000000002</v>
      </c>
      <c r="I90" s="51">
        <f t="shared" si="26"/>
        <v>1.2227774111435847</v>
      </c>
      <c r="J90" s="48">
        <f t="shared" si="27"/>
        <v>238.24916978357587</v>
      </c>
    </row>
    <row r="91" spans="1:10" ht="14.25" customHeight="1" x14ac:dyDescent="0.25">
      <c r="A91" s="44" t="s">
        <v>543</v>
      </c>
      <c r="B91" s="45">
        <v>70.63</v>
      </c>
      <c r="C91" s="46">
        <v>1</v>
      </c>
      <c r="D91" s="47">
        <v>16.899999999999999</v>
      </c>
      <c r="E91" s="48">
        <f t="shared" si="15"/>
        <v>239.27509556845536</v>
      </c>
      <c r="F91" s="49">
        <v>202.3</v>
      </c>
      <c r="G91" s="46">
        <v>1</v>
      </c>
      <c r="H91" s="50">
        <v>0.2412</v>
      </c>
      <c r="I91" s="51">
        <f t="shared" si="26"/>
        <v>1.1922886801779533</v>
      </c>
      <c r="J91" s="48">
        <f t="shared" si="27"/>
        <v>238.08280688827739</v>
      </c>
    </row>
    <row r="92" spans="1:10" ht="14.25" customHeight="1" x14ac:dyDescent="0.25">
      <c r="A92" s="44" t="s">
        <v>544</v>
      </c>
      <c r="B92" s="45">
        <v>76.319999999999993</v>
      </c>
      <c r="C92" s="46">
        <v>1</v>
      </c>
      <c r="D92" s="47">
        <v>14.86</v>
      </c>
      <c r="E92" s="48">
        <f t="shared" si="15"/>
        <v>194.70649895178198</v>
      </c>
      <c r="F92" s="49">
        <v>188.26</v>
      </c>
      <c r="G92" s="46">
        <v>1</v>
      </c>
      <c r="H92" s="50">
        <v>0</v>
      </c>
      <c r="I92" s="51">
        <f t="shared" si="26"/>
        <v>0</v>
      </c>
      <c r="J92" s="48">
        <f t="shared" si="27"/>
        <v>194.70649895178198</v>
      </c>
    </row>
    <row r="93" spans="1:10" ht="14.25" customHeight="1" x14ac:dyDescent="0.25">
      <c r="A93" s="44"/>
      <c r="B93" s="45"/>
      <c r="C93" s="46"/>
      <c r="D93" s="47"/>
      <c r="E93" s="48"/>
      <c r="F93" s="49"/>
      <c r="G93" s="46"/>
      <c r="H93" s="50"/>
      <c r="I93" s="51"/>
      <c r="J93" s="48"/>
    </row>
    <row r="95" spans="1:10" x14ac:dyDescent="0.25">
      <c r="A95" s="89" t="s">
        <v>556</v>
      </c>
    </row>
  </sheetData>
  <mergeCells count="24">
    <mergeCell ref="I11:I12"/>
    <mergeCell ref="J11:J12"/>
    <mergeCell ref="B10:E10"/>
    <mergeCell ref="F10:I10"/>
    <mergeCell ref="A11:A12"/>
    <mergeCell ref="B11:B12"/>
    <mergeCell ref="C11:C12"/>
    <mergeCell ref="D11:D12"/>
    <mergeCell ref="E11:E12"/>
    <mergeCell ref="F11:F12"/>
    <mergeCell ref="G11:G12"/>
    <mergeCell ref="H11:H12"/>
    <mergeCell ref="A6:B6"/>
    <mergeCell ref="C6:D6"/>
    <mergeCell ref="A7:B7"/>
    <mergeCell ref="C7:D7"/>
    <mergeCell ref="A8:B8"/>
    <mergeCell ref="C8:D8"/>
    <mergeCell ref="A1:C3"/>
    <mergeCell ref="D1:I1"/>
    <mergeCell ref="D2:I2"/>
    <mergeCell ref="D3:I3"/>
    <mergeCell ref="A5:B5"/>
    <mergeCell ref="C5:D5"/>
  </mergeCells>
  <pageMargins left="0.23611111111111099" right="0.23611111111111099" top="0.196527777777778" bottom="0.196527777777778" header="0.511811023622047" footer="0.511811023622047"/>
  <pageSetup paperSize="9" scale="81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raw</vt:lpstr>
      <vt:lpstr>seagrass biomass</vt:lpstr>
      <vt:lpstr>carbon</vt:lpstr>
      <vt:lpstr>carbon!Print_Area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barille-l</cp:lastModifiedBy>
  <cp:revision>3</cp:revision>
  <dcterms:created xsi:type="dcterms:W3CDTF">2025-07-14T19:12:03Z</dcterms:created>
  <dcterms:modified xsi:type="dcterms:W3CDTF">2026-03-02T14:20:50Z</dcterms:modified>
</cp:coreProperties>
</file>