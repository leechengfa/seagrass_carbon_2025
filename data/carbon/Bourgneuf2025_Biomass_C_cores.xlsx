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EWRITE\Field_data\Nantes_cloud\"/>
    </mc:Choice>
  </mc:AlternateContent>
  <bookViews>
    <workbookView xWindow="0" yWindow="0" windowWidth="38400" windowHeight="17580"/>
  </bookViews>
  <sheets>
    <sheet name="data" sheetId="2" r:id="rId1"/>
    <sheet name="biomass" sheetId="1" r:id="rId2"/>
    <sheet name="carbon" sheetId="3" r:id="rId3"/>
  </sheets>
  <definedNames>
    <definedName name="_xlnm.Print_Area" localSheetId="2">carbon!$A$1:$J$22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2" i="2"/>
  <c r="H5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2" i="2"/>
  <c r="I56" i="3" l="1"/>
  <c r="I55" i="3"/>
  <c r="I53" i="3"/>
  <c r="I52" i="3"/>
  <c r="I51" i="3"/>
  <c r="I50" i="3"/>
  <c r="I49" i="3"/>
  <c r="I48" i="3"/>
  <c r="I46" i="3"/>
  <c r="I45" i="3"/>
  <c r="I44" i="3"/>
  <c r="I43" i="3"/>
  <c r="I42" i="3"/>
  <c r="I41" i="3"/>
  <c r="E56" i="3"/>
  <c r="E55" i="3"/>
  <c r="E53" i="3"/>
  <c r="E52" i="3"/>
  <c r="E51" i="3"/>
  <c r="E50" i="3"/>
  <c r="E49" i="3"/>
  <c r="E48" i="3"/>
  <c r="E46" i="3"/>
  <c r="E45" i="3"/>
  <c r="E44" i="3"/>
  <c r="E43" i="3"/>
  <c r="E42" i="3"/>
  <c r="E41" i="3"/>
  <c r="E22" i="3"/>
  <c r="E23" i="3"/>
  <c r="E24" i="3"/>
  <c r="E25" i="3"/>
  <c r="E26" i="3"/>
  <c r="E27" i="3"/>
  <c r="E28" i="3"/>
  <c r="E30" i="3"/>
  <c r="E31" i="3"/>
  <c r="E32" i="3"/>
  <c r="E33" i="3"/>
  <c r="E34" i="3"/>
  <c r="E35" i="3"/>
  <c r="E36" i="3"/>
  <c r="E38" i="3"/>
  <c r="E39" i="3"/>
  <c r="I23" i="3"/>
  <c r="I24" i="3"/>
  <c r="I25" i="3"/>
  <c r="I26" i="3"/>
  <c r="I27" i="3"/>
  <c r="I28" i="3"/>
  <c r="I30" i="3"/>
  <c r="I31" i="3"/>
  <c r="I32" i="3"/>
  <c r="I33" i="3"/>
  <c r="I34" i="3"/>
  <c r="I35" i="3"/>
  <c r="I36" i="3"/>
  <c r="I38" i="3"/>
  <c r="I39" i="3"/>
  <c r="I22" i="3"/>
  <c r="I20" i="3"/>
  <c r="E20" i="3"/>
  <c r="J20" i="3" s="1"/>
  <c r="I19" i="3"/>
  <c r="E19" i="3"/>
  <c r="I18" i="3"/>
  <c r="E18" i="3"/>
  <c r="I16" i="3"/>
  <c r="E16" i="3"/>
  <c r="I15" i="3"/>
  <c r="E15" i="3"/>
  <c r="I14" i="3"/>
  <c r="E14" i="3"/>
  <c r="J14" i="3" s="1"/>
  <c r="J43" i="3" l="1"/>
  <c r="J56" i="3"/>
  <c r="J55" i="3"/>
  <c r="J53" i="3"/>
  <c r="J52" i="3"/>
  <c r="J51" i="3"/>
  <c r="J50" i="3"/>
  <c r="J49" i="3"/>
  <c r="J48" i="3"/>
  <c r="J46" i="3"/>
  <c r="J45" i="3"/>
  <c r="J44" i="3"/>
  <c r="J42" i="3"/>
  <c r="J41" i="3"/>
  <c r="J25" i="3"/>
  <c r="J27" i="3"/>
  <c r="J26" i="3"/>
  <c r="J24" i="3"/>
  <c r="J23" i="3"/>
  <c r="J39" i="3"/>
  <c r="J38" i="3"/>
  <c r="J32" i="3"/>
  <c r="J31" i="3"/>
  <c r="J36" i="3"/>
  <c r="J35" i="3"/>
  <c r="J33" i="3"/>
  <c r="J30" i="3"/>
  <c r="J34" i="3"/>
  <c r="J28" i="3"/>
  <c r="J22" i="3"/>
  <c r="J19" i="3"/>
  <c r="J15" i="3"/>
  <c r="J16" i="3"/>
  <c r="J18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5" i="2"/>
  <c r="G56" i="2"/>
  <c r="G57" i="2"/>
  <c r="G58" i="2"/>
  <c r="G59" i="2"/>
  <c r="G60" i="2"/>
  <c r="G61" i="2"/>
  <c r="G63" i="2"/>
  <c r="G66" i="2"/>
  <c r="G67" i="2"/>
  <c r="G68" i="2"/>
  <c r="G69" i="2"/>
  <c r="G70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7" i="2"/>
  <c r="G88" i="2"/>
  <c r="G89" i="2"/>
  <c r="G90" i="2"/>
  <c r="G91" i="2"/>
  <c r="G92" i="2"/>
  <c r="G96" i="2"/>
  <c r="G97" i="2"/>
  <c r="G98" i="2"/>
  <c r="G99" i="2"/>
  <c r="G100" i="2"/>
  <c r="G102" i="2"/>
  <c r="G103" i="2"/>
  <c r="G105" i="2"/>
  <c r="G106" i="2"/>
  <c r="G107" i="2"/>
  <c r="G108" i="2"/>
  <c r="G109" i="2"/>
  <c r="G110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2" i="2"/>
  <c r="C61" i="1" l="1"/>
  <c r="G111" i="2" s="1"/>
  <c r="C54" i="1"/>
  <c r="G104" i="2" s="1"/>
  <c r="C51" i="1"/>
  <c r="G101" i="2" s="1"/>
  <c r="B51" i="1"/>
  <c r="G71" i="2" s="1"/>
  <c r="C45" i="1"/>
  <c r="G95" i="2" s="1"/>
  <c r="B45" i="1"/>
  <c r="G65" i="2" s="1"/>
  <c r="C44" i="1"/>
  <c r="G94" i="2" s="1"/>
  <c r="B44" i="1"/>
  <c r="G64" i="2" s="1"/>
  <c r="C43" i="1"/>
  <c r="G93" i="2" s="1"/>
  <c r="B42" i="1"/>
  <c r="G62" i="2" s="1"/>
  <c r="C36" i="1"/>
  <c r="G86" i="2" s="1"/>
  <c r="B34" i="1"/>
  <c r="G54" i="2" s="1"/>
</calcChain>
</file>

<file path=xl/sharedStrings.xml><?xml version="1.0" encoding="utf-8"?>
<sst xmlns="http://schemas.openxmlformats.org/spreadsheetml/2006/main" count="725" uniqueCount="148">
  <si>
    <t>Station</t>
  </si>
  <si>
    <t>L_01</t>
  </si>
  <si>
    <t>L_02</t>
  </si>
  <si>
    <t>L_03</t>
  </si>
  <si>
    <t>L_04</t>
  </si>
  <si>
    <t>L_05</t>
  </si>
  <si>
    <t>L_06</t>
  </si>
  <si>
    <t>L_07</t>
  </si>
  <si>
    <t>L_08</t>
  </si>
  <si>
    <t>L_09</t>
  </si>
  <si>
    <t>L_10</t>
  </si>
  <si>
    <t>L_11</t>
  </si>
  <si>
    <t>L_12</t>
  </si>
  <si>
    <t>L_13</t>
  </si>
  <si>
    <t>L_14</t>
  </si>
  <si>
    <t>L_15</t>
  </si>
  <si>
    <t>L_16</t>
  </si>
  <si>
    <t>L_17</t>
  </si>
  <si>
    <t>L_18</t>
  </si>
  <si>
    <t>L_19</t>
  </si>
  <si>
    <t>L_20</t>
  </si>
  <si>
    <t>L_21</t>
  </si>
  <si>
    <t>L_22</t>
  </si>
  <si>
    <t>L_23</t>
  </si>
  <si>
    <t>L_24</t>
  </si>
  <si>
    <t>L_25</t>
  </si>
  <si>
    <t>L_26</t>
  </si>
  <si>
    <t>L_27</t>
  </si>
  <si>
    <t>L_28</t>
  </si>
  <si>
    <t>L_29</t>
  </si>
  <si>
    <t>L_30</t>
  </si>
  <si>
    <t>H_01</t>
  </si>
  <si>
    <t>H_02</t>
  </si>
  <si>
    <t>H_03</t>
  </si>
  <si>
    <t>H_04</t>
  </si>
  <si>
    <t>H_05</t>
  </si>
  <si>
    <t>H_06</t>
  </si>
  <si>
    <t>H_07</t>
  </si>
  <si>
    <t>H_08</t>
  </si>
  <si>
    <t>H_09</t>
  </si>
  <si>
    <t>H_10</t>
  </si>
  <si>
    <t>H_11</t>
  </si>
  <si>
    <t>H_12</t>
  </si>
  <si>
    <t>H_13</t>
  </si>
  <si>
    <t>H_14</t>
  </si>
  <si>
    <t>H_15</t>
  </si>
  <si>
    <t>H_16</t>
  </si>
  <si>
    <t>H_17</t>
  </si>
  <si>
    <t>H_18</t>
  </si>
  <si>
    <t>H_19</t>
  </si>
  <si>
    <t>H_20</t>
  </si>
  <si>
    <t>H_21</t>
  </si>
  <si>
    <t>H_22</t>
  </si>
  <si>
    <t>H_23</t>
  </si>
  <si>
    <t>H_24</t>
  </si>
  <si>
    <t>H_25</t>
  </si>
  <si>
    <t>H_26</t>
  </si>
  <si>
    <t>H_27</t>
  </si>
  <si>
    <t>H_28</t>
  </si>
  <si>
    <t>H_29</t>
  </si>
  <si>
    <t>H_30</t>
  </si>
  <si>
    <t>Group</t>
  </si>
  <si>
    <t>Small</t>
  </si>
  <si>
    <t>Leaves</t>
  </si>
  <si>
    <t>Roots</t>
  </si>
  <si>
    <t>ID</t>
  </si>
  <si>
    <t>Label</t>
  </si>
  <si>
    <t>NA</t>
  </si>
  <si>
    <t>Low</t>
  </si>
  <si>
    <t>High</t>
  </si>
  <si>
    <t>PartType</t>
  </si>
  <si>
    <t>CoreType</t>
  </si>
  <si>
    <t>DryMassTotal</t>
  </si>
  <si>
    <t>DryMassTC</t>
  </si>
  <si>
    <t>CarbonTC</t>
  </si>
  <si>
    <t>DryMassIC</t>
  </si>
  <si>
    <t>CarbonIC</t>
  </si>
  <si>
    <t>Habitat</t>
  </si>
  <si>
    <t>seagrass</t>
  </si>
  <si>
    <t>imageR_SPC</t>
  </si>
  <si>
    <t>imageR_threshold</t>
  </si>
  <si>
    <t>remarks</t>
  </si>
  <si>
    <t>glint</t>
  </si>
  <si>
    <t>cropped</t>
  </si>
  <si>
    <t>water (glint)</t>
  </si>
  <si>
    <t>cropped; 0.53 would be better if not for the dark substrate</t>
  </si>
  <si>
    <t>cropped; dark subsurface substrate</t>
  </si>
  <si>
    <t>cropped, muddy water distortion on lens</t>
  </si>
  <si>
    <t>cropped, water distortion on lens</t>
  </si>
  <si>
    <t>-</t>
  </si>
  <si>
    <t>bare</t>
  </si>
  <si>
    <t>bare; no good threshold vs dark subsurface substrate</t>
  </si>
  <si>
    <t>glint + shadow</t>
  </si>
  <si>
    <t>PLQ_LEE_LCE</t>
  </si>
  <si>
    <t>Formulaire de résultats</t>
  </si>
  <si>
    <t>DETERMINATION DU CARBONE TOTAL, ORGANIQUE ET INORGANIQUE DANS LES SOLS</t>
  </si>
  <si>
    <t>Opérateur :</t>
  </si>
  <si>
    <t>Date d'analyse :</t>
  </si>
  <si>
    <t>RE :</t>
  </si>
  <si>
    <t>Norme :</t>
  </si>
  <si>
    <t>Analyse du Carbone total</t>
  </si>
  <si>
    <t>Analyse du Carbone inorganique</t>
  </si>
  <si>
    <t>N° éch</t>
  </si>
  <si>
    <r>
      <t xml:space="preserve">Prise d'essai humide
</t>
    </r>
    <r>
      <rPr>
        <i/>
        <sz val="9"/>
        <color rgb="FF000000"/>
        <rFont val="Cambria"/>
        <family val="1"/>
        <charset val="1"/>
      </rPr>
      <t>(mg)</t>
    </r>
  </si>
  <si>
    <r>
      <rPr>
        <b/>
        <sz val="10"/>
        <color rgb="FF000000"/>
        <rFont val="Cambria"/>
        <family val="1"/>
        <charset val="1"/>
      </rPr>
      <t xml:space="preserve">Matière sèche
</t>
    </r>
    <r>
      <rPr>
        <i/>
        <sz val="9"/>
        <color rgb="FF000000"/>
        <rFont val="Cambria"/>
        <family val="1"/>
        <charset val="1"/>
      </rPr>
      <t>(%)</t>
    </r>
  </si>
  <si>
    <r>
      <rPr>
        <b/>
        <sz val="10"/>
        <color rgb="FF000000"/>
        <rFont val="Cambria"/>
        <family val="1"/>
        <charset val="1"/>
      </rPr>
      <t xml:space="preserve">Masse C mesurée 
</t>
    </r>
    <r>
      <rPr>
        <i/>
        <sz val="9"/>
        <color rgb="FF000000"/>
        <rFont val="Cambria"/>
        <family val="1"/>
        <charset val="1"/>
      </rPr>
      <t>(mg)</t>
    </r>
  </si>
  <si>
    <r>
      <rPr>
        <b/>
        <sz val="10"/>
        <color rgb="FF000000"/>
        <rFont val="Cambria"/>
        <family val="1"/>
        <charset val="1"/>
      </rPr>
      <t xml:space="preserve">Concentration Ctot 
</t>
    </r>
    <r>
      <rPr>
        <i/>
        <sz val="9"/>
        <color rgb="FF000000"/>
        <rFont val="Cambria"/>
        <family val="1"/>
        <charset val="1"/>
      </rPr>
      <t>(g de C/kg de matière sèche)</t>
    </r>
  </si>
  <si>
    <r>
      <rPr>
        <b/>
        <sz val="10"/>
        <color rgb="FF000000"/>
        <rFont val="Cambria"/>
        <family val="1"/>
        <charset val="1"/>
      </rPr>
      <t xml:space="preserve">Prise d'essai humide
</t>
    </r>
    <r>
      <rPr>
        <i/>
        <sz val="9"/>
        <color rgb="FF000000"/>
        <rFont val="Cambria"/>
        <family val="1"/>
        <charset val="1"/>
      </rPr>
      <t>(mg)</t>
    </r>
  </si>
  <si>
    <r>
      <rPr>
        <b/>
        <sz val="10"/>
        <color rgb="FF000000"/>
        <rFont val="Cambria"/>
        <family val="1"/>
        <charset val="1"/>
      </rPr>
      <t xml:space="preserve">Concentration IC mesurée
</t>
    </r>
    <r>
      <rPr>
        <i/>
        <sz val="9"/>
        <color rgb="FF000000"/>
        <rFont val="Cambria"/>
        <family val="1"/>
        <charset val="1"/>
      </rPr>
      <t>(mg)</t>
    </r>
  </si>
  <si>
    <r>
      <rPr>
        <b/>
        <sz val="10"/>
        <color rgb="FF000000"/>
        <rFont val="Cambria"/>
        <family val="1"/>
        <charset val="1"/>
      </rPr>
      <t xml:space="preserve">Concentration IC
</t>
    </r>
    <r>
      <rPr>
        <i/>
        <sz val="9"/>
        <color rgb="FF000000"/>
        <rFont val="Cambria"/>
        <family val="1"/>
        <charset val="1"/>
      </rPr>
      <t>(g de C/kg de matière sèche)</t>
    </r>
  </si>
  <si>
    <r>
      <rPr>
        <b/>
        <sz val="10"/>
        <color rgb="FF000000"/>
        <rFont val="Cambria"/>
        <family val="1"/>
        <charset val="1"/>
      </rPr>
      <t xml:space="preserve">Concentration COT 
</t>
    </r>
    <r>
      <rPr>
        <i/>
        <sz val="9"/>
        <color rgb="FF000000"/>
        <rFont val="Cambria"/>
        <family val="1"/>
        <charset val="1"/>
      </rPr>
      <t>(g de C/kg de matière sèche)</t>
    </r>
  </si>
  <si>
    <t>H_11_A</t>
  </si>
  <si>
    <t>H_12_A</t>
  </si>
  <si>
    <t>H_11_B</t>
  </si>
  <si>
    <t>H_12_B</t>
  </si>
  <si>
    <t>H_19_A</t>
  </si>
  <si>
    <t>H_29_A</t>
  </si>
  <si>
    <t>H_08_A</t>
  </si>
  <si>
    <t>H_16_A</t>
  </si>
  <si>
    <t>H_17_A</t>
  </si>
  <si>
    <t>H_23_A *</t>
  </si>
  <si>
    <t>H_27_A</t>
  </si>
  <si>
    <t>H_19_B</t>
  </si>
  <si>
    <t>H_29_B</t>
  </si>
  <si>
    <t>H_08_B</t>
  </si>
  <si>
    <t>H_16_B</t>
  </si>
  <si>
    <t>H_17_B</t>
  </si>
  <si>
    <t>H_23_B</t>
  </si>
  <si>
    <t>H_27_B</t>
  </si>
  <si>
    <t>H_02_A</t>
  </si>
  <si>
    <t>H_02_B</t>
  </si>
  <si>
    <t>H_06_A</t>
  </si>
  <si>
    <t>H_10_A</t>
  </si>
  <si>
    <t>H_13_A</t>
  </si>
  <si>
    <t>H_18_A</t>
  </si>
  <si>
    <t>H_30_A</t>
  </si>
  <si>
    <t>H_01_B *</t>
  </si>
  <si>
    <t>H_06_B *</t>
  </si>
  <si>
    <t>H_10_B</t>
  </si>
  <si>
    <t>H_13_B *</t>
  </si>
  <si>
    <t>H_18_B</t>
  </si>
  <si>
    <t>H_9_ A</t>
  </si>
  <si>
    <t>H_9 _B</t>
  </si>
  <si>
    <t>H_04_A/H_15_A/H_21_A/H_22_A/H_26_A</t>
  </si>
  <si>
    <t>H_04_B/H_15_B/H_21_B/H_22_B/H_26_B</t>
  </si>
  <si>
    <t>H_30_B *</t>
  </si>
  <si>
    <t>H_01_A *</t>
  </si>
  <si>
    <t>* Samples not well homogenised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</si>
</sst>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9" formatCode="m/d/yyyy"/>
    <numFmt numFmtId="170" formatCode="0.000"/>
  </numFmts>
  <fonts count="1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indexed="64"/>
      <name val="Aptos Narrow"/>
      <scheme val="minor"/>
    </font>
    <font>
      <sz val="11"/>
      <color indexed="64"/>
      <name val="Aptos Narrow"/>
      <scheme val="minor"/>
    </font>
    <font>
      <sz val="11"/>
      <color indexed="64"/>
      <name val="Arial"/>
    </font>
    <font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scheme val="minor"/>
    </font>
    <font>
      <sz val="10"/>
      <name val="Arial"/>
      <family val="2"/>
    </font>
    <font>
      <sz val="9"/>
      <name val="Cambria"/>
      <family val="1"/>
      <charset val="1"/>
    </font>
    <font>
      <sz val="10"/>
      <name val="Arial"/>
      <family val="2"/>
      <charset val="1"/>
    </font>
    <font>
      <sz val="10"/>
      <name val="MS Sans Serif"/>
      <family val="2"/>
      <charset val="1"/>
    </font>
    <font>
      <b/>
      <sz val="9"/>
      <name val="Cambria"/>
      <family val="1"/>
      <charset val="1"/>
    </font>
    <font>
      <b/>
      <sz val="10"/>
      <name val="Cambria"/>
      <family val="1"/>
      <charset val="1"/>
    </font>
    <font>
      <b/>
      <sz val="10"/>
      <color rgb="FF000000"/>
      <name val="Cambria"/>
      <family val="1"/>
      <charset val="1"/>
    </font>
    <font>
      <i/>
      <sz val="9"/>
      <color rgb="FF000000"/>
      <name val="Cambria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EFFEE2"/>
      </patternFill>
    </fill>
    <fill>
      <patternFill patternType="solid">
        <fgColor rgb="FFFFFFCC"/>
        <bgColor rgb="FFEFFEE2"/>
      </patternFill>
    </fill>
    <fill>
      <patternFill patternType="solid">
        <fgColor rgb="FFEFFEE2"/>
        <bgColor rgb="FFFFFFCC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999847407452621"/>
      </bottom>
      <diagonal/>
    </border>
    <border>
      <left style="thin">
        <color auto="1"/>
      </left>
      <right/>
      <top style="thin">
        <color auto="1"/>
      </top>
      <bottom style="thin">
        <color theme="0" tint="-0.14999847407452621"/>
      </bottom>
      <diagonal/>
    </border>
    <border>
      <left/>
      <right/>
      <top style="thin">
        <color auto="1"/>
      </top>
      <bottom style="thin">
        <color theme="0" tint="-0.14999847407452621"/>
      </bottom>
      <diagonal/>
    </border>
    <border>
      <left/>
      <right style="thin">
        <color auto="1"/>
      </right>
      <top style="thin">
        <color auto="1"/>
      </top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/>
      <bottom style="thin">
        <color theme="0" tint="-0.14999847407452621"/>
      </bottom>
      <diagonal/>
    </border>
    <border>
      <left style="thin">
        <color auto="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auto="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">
    <xf numFmtId="0" fontId="0" fillId="0" borderId="0"/>
    <xf numFmtId="0" fontId="8" fillId="0" borderId="0"/>
    <xf numFmtId="0" fontId="10" fillId="0" borderId="0"/>
    <xf numFmtId="0" fontId="11" fillId="0" borderId="0"/>
    <xf numFmtId="0" fontId="11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164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9" fillId="2" borderId="1" xfId="1" applyFont="1" applyFill="1" applyBorder="1" applyAlignment="1" applyProtection="1">
      <alignment horizontal="center" vertical="center"/>
    </xf>
    <xf numFmtId="0" fontId="9" fillId="2" borderId="2" xfId="1" applyFont="1" applyFill="1" applyBorder="1" applyAlignment="1" applyProtection="1">
      <alignment horizontal="center" vertical="center"/>
    </xf>
    <xf numFmtId="0" fontId="9" fillId="2" borderId="1" xfId="1" applyFont="1" applyFill="1" applyBorder="1" applyAlignment="1" applyProtection="1">
      <alignment horizontal="center" vertical="center"/>
    </xf>
    <xf numFmtId="0" fontId="9" fillId="2" borderId="0" xfId="1" applyFont="1" applyFill="1" applyAlignment="1" applyProtection="1">
      <alignment horizontal="center" vertical="center"/>
    </xf>
    <xf numFmtId="0" fontId="9" fillId="2" borderId="2" xfId="1" applyFont="1" applyFill="1" applyBorder="1" applyAlignment="1" applyProtection="1">
      <alignment horizontal="center" vertical="center" wrapText="1"/>
    </xf>
    <xf numFmtId="0" fontId="9" fillId="2" borderId="1" xfId="1" applyFont="1" applyFill="1" applyBorder="1" applyAlignment="1" applyProtection="1">
      <alignment horizontal="left" vertical="center"/>
    </xf>
    <xf numFmtId="0" fontId="9" fillId="3" borderId="1" xfId="1" applyFont="1" applyFill="1" applyBorder="1" applyAlignment="1" applyProtection="1">
      <alignment horizontal="center" vertical="center"/>
    </xf>
    <xf numFmtId="169" fontId="9" fillId="3" borderId="1" xfId="1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12" fillId="2" borderId="0" xfId="3" applyFont="1" applyFill="1" applyBorder="1" applyAlignment="1" applyProtection="1">
      <alignment horizontal="center" vertical="center"/>
    </xf>
    <xf numFmtId="0" fontId="9" fillId="2" borderId="0" xfId="4" applyFont="1" applyFill="1" applyBorder="1" applyAlignment="1" applyProtection="1">
      <alignment horizontal="center" vertical="center"/>
    </xf>
    <xf numFmtId="0" fontId="9" fillId="2" borderId="3" xfId="1" applyFont="1" applyFill="1" applyBorder="1" applyAlignment="1" applyProtection="1">
      <alignment horizontal="center" vertical="center"/>
    </xf>
    <xf numFmtId="0" fontId="13" fillId="2" borderId="3" xfId="4" applyFont="1" applyFill="1" applyBorder="1" applyAlignment="1" applyProtection="1">
      <alignment horizontal="center" vertical="center"/>
    </xf>
    <xf numFmtId="0" fontId="14" fillId="2" borderId="2" xfId="4" applyFont="1" applyFill="1" applyBorder="1" applyAlignment="1" applyProtection="1">
      <alignment horizontal="center" vertical="center" wrapText="1"/>
    </xf>
    <xf numFmtId="0" fontId="14" fillId="2" borderId="1" xfId="4" applyFont="1" applyFill="1" applyBorder="1" applyAlignment="1" applyProtection="1">
      <alignment horizontal="center" vertical="center" wrapText="1"/>
    </xf>
    <xf numFmtId="0" fontId="14" fillId="2" borderId="4" xfId="4" applyFont="1" applyFill="1" applyBorder="1" applyAlignment="1" applyProtection="1">
      <alignment horizontal="center" vertical="center" wrapText="1"/>
    </xf>
    <xf numFmtId="0" fontId="9" fillId="2" borderId="5" xfId="4" applyFont="1" applyFill="1" applyBorder="1" applyAlignment="1" applyProtection="1">
      <alignment horizontal="center" vertical="center"/>
    </xf>
    <xf numFmtId="0" fontId="9" fillId="2" borderId="6" xfId="4" applyFont="1" applyFill="1" applyBorder="1" applyAlignment="1" applyProtection="1">
      <alignment horizontal="center" vertical="center"/>
    </xf>
    <xf numFmtId="10" fontId="9" fillId="2" borderId="5" xfId="4" applyNumberFormat="1" applyFont="1" applyFill="1" applyBorder="1" applyAlignment="1" applyProtection="1">
      <alignment horizontal="center" vertical="center"/>
    </xf>
    <xf numFmtId="170" fontId="9" fillId="2" borderId="7" xfId="4" applyNumberFormat="1" applyFont="1" applyFill="1" applyBorder="1" applyAlignment="1" applyProtection="1">
      <alignment horizontal="center" vertical="center"/>
    </xf>
    <xf numFmtId="2" fontId="9" fillId="4" borderId="5" xfId="4" applyNumberFormat="1" applyFont="1" applyFill="1" applyBorder="1" applyAlignment="1" applyProtection="1">
      <alignment horizontal="center" vertical="center"/>
    </xf>
    <xf numFmtId="0" fontId="9" fillId="2" borderId="7" xfId="4" applyFont="1" applyFill="1" applyBorder="1" applyAlignment="1" applyProtection="1">
      <alignment horizontal="center" vertical="center"/>
    </xf>
    <xf numFmtId="170" fontId="9" fillId="2" borderId="5" xfId="4" applyNumberFormat="1" applyFont="1" applyFill="1" applyBorder="1" applyAlignment="1" applyProtection="1">
      <alignment horizontal="center" vertical="center"/>
    </xf>
    <xf numFmtId="170" fontId="9" fillId="4" borderId="8" xfId="4" applyNumberFormat="1" applyFont="1" applyFill="1" applyBorder="1" applyAlignment="1" applyProtection="1">
      <alignment horizontal="center" vertical="center"/>
    </xf>
    <xf numFmtId="0" fontId="9" fillId="2" borderId="9" xfId="4" applyFont="1" applyFill="1" applyBorder="1" applyAlignment="1" applyProtection="1">
      <alignment horizontal="center" vertical="center"/>
    </xf>
    <xf numFmtId="0" fontId="9" fillId="2" borderId="10" xfId="4" applyFont="1" applyFill="1" applyBorder="1" applyAlignment="1" applyProtection="1">
      <alignment horizontal="center" vertical="center"/>
    </xf>
    <xf numFmtId="10" fontId="9" fillId="2" borderId="9" xfId="4" applyNumberFormat="1" applyFont="1" applyFill="1" applyBorder="1" applyAlignment="1" applyProtection="1">
      <alignment horizontal="center" vertical="center"/>
    </xf>
    <xf numFmtId="170" fontId="9" fillId="2" borderId="11" xfId="4" applyNumberFormat="1" applyFont="1" applyFill="1" applyBorder="1" applyAlignment="1" applyProtection="1">
      <alignment horizontal="center" vertical="center"/>
    </xf>
    <xf numFmtId="2" fontId="9" fillId="4" borderId="12" xfId="4" applyNumberFormat="1" applyFont="1" applyFill="1" applyBorder="1" applyAlignment="1" applyProtection="1">
      <alignment horizontal="center" vertical="center"/>
    </xf>
    <xf numFmtId="0" fontId="9" fillId="2" borderId="11" xfId="4" applyFont="1" applyFill="1" applyBorder="1" applyAlignment="1" applyProtection="1">
      <alignment horizontal="center" vertical="center"/>
    </xf>
    <xf numFmtId="170" fontId="9" fillId="2" borderId="9" xfId="4" applyNumberFormat="1" applyFont="1" applyFill="1" applyBorder="1" applyAlignment="1" applyProtection="1">
      <alignment horizontal="center" vertical="center"/>
    </xf>
    <xf numFmtId="170" fontId="9" fillId="4" borderId="13" xfId="4" applyNumberFormat="1" applyFont="1" applyFill="1" applyBorder="1" applyAlignment="1" applyProtection="1">
      <alignment horizontal="center" vertical="center"/>
    </xf>
    <xf numFmtId="0" fontId="9" fillId="0" borderId="11" xfId="4" applyFont="1" applyFill="1" applyBorder="1" applyAlignment="1" applyProtection="1">
      <alignment horizontal="center" vertical="center"/>
    </xf>
    <xf numFmtId="10" fontId="9" fillId="0" borderId="9" xfId="4" applyNumberFormat="1" applyFont="1" applyFill="1" applyBorder="1" applyAlignment="1" applyProtection="1">
      <alignment horizontal="center" vertical="center"/>
    </xf>
    <xf numFmtId="170" fontId="9" fillId="0" borderId="9" xfId="4" applyNumberFormat="1" applyFont="1" applyFill="1" applyBorder="1" applyAlignment="1" applyProtection="1">
      <alignment horizontal="center" vertical="center"/>
    </xf>
    <xf numFmtId="0" fontId="9" fillId="2" borderId="0" xfId="1" applyFont="1" applyFill="1" applyAlignment="1" applyProtection="1">
      <alignment horizontal="left" vertical="center"/>
    </xf>
  </cellXfs>
  <cellStyles count="5">
    <cellStyle name="Normal" xfId="0" builtinId="0"/>
    <cellStyle name="Normal 2" xfId="1"/>
    <cellStyle name="Normal 31" xfId="2"/>
    <cellStyle name="Normal_Feuil1 (2)" xfId="3"/>
    <cellStyle name="Normal_Métaux y=ax+b 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390600</xdr:colOff>
      <xdr:row>0</xdr:row>
      <xdr:rowOff>190440</xdr:rowOff>
    </xdr:from>
    <xdr:to>
      <xdr:col>1</xdr:col>
      <xdr:colOff>460380</xdr:colOff>
      <xdr:row>2</xdr:row>
      <xdr:rowOff>142200</xdr:rowOff>
    </xdr:to>
    <xdr:pic>
      <xdr:nvPicPr>
        <xdr:cNvPr id="2" name="Image 3"/>
        <xdr:cNvPicPr/>
      </xdr:nvPicPr>
      <xdr:blipFill>
        <a:blip xmlns:r="http://schemas.openxmlformats.org/officeDocument/2006/relationships" r:embed="rId1"/>
        <a:stretch/>
      </xdr:blipFill>
      <xdr:spPr>
        <a:xfrm>
          <a:off x="390600" y="190440"/>
          <a:ext cx="2165280" cy="4470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11"/>
  <sheetViews>
    <sheetView tabSelected="1" workbookViewId="0"/>
  </sheetViews>
  <sheetFormatPr defaultRowHeight="14.25"/>
  <cols>
    <col min="1" max="1" width="10.25" bestFit="1" customWidth="1"/>
    <col min="2" max="2" width="9" bestFit="1" customWidth="1"/>
    <col min="3" max="3" width="7.5" customWidth="1"/>
    <col min="4" max="4" width="7.25" bestFit="1" customWidth="1"/>
    <col min="5" max="5" width="7.375" bestFit="1" customWidth="1"/>
    <col min="6" max="6" width="9.25" bestFit="1" customWidth="1"/>
    <col min="7" max="7" width="13.375" bestFit="1" customWidth="1"/>
    <col min="8" max="8" width="20" bestFit="1" customWidth="1"/>
    <col min="9" max="9" width="13.125" bestFit="1" customWidth="1"/>
    <col min="10" max="10" width="19.25" bestFit="1" customWidth="1"/>
    <col min="11" max="11" width="12.25" bestFit="1" customWidth="1"/>
  </cols>
  <sheetData>
    <row r="1" spans="1:11" ht="15.75">
      <c r="A1" s="4" t="s">
        <v>71</v>
      </c>
      <c r="B1" s="4" t="s">
        <v>70</v>
      </c>
      <c r="C1" s="4" t="s">
        <v>61</v>
      </c>
      <c r="D1" s="4" t="s">
        <v>65</v>
      </c>
      <c r="E1" s="4" t="s">
        <v>66</v>
      </c>
      <c r="F1" s="4" t="s">
        <v>77</v>
      </c>
      <c r="G1" s="5" t="s">
        <v>72</v>
      </c>
      <c r="H1" s="5" t="s">
        <v>73</v>
      </c>
      <c r="I1" s="5" t="s">
        <v>74</v>
      </c>
      <c r="J1" s="5" t="s">
        <v>75</v>
      </c>
      <c r="K1" s="5" t="s">
        <v>76</v>
      </c>
    </row>
    <row r="2" spans="1:11" ht="15">
      <c r="A2" s="1" t="s">
        <v>62</v>
      </c>
      <c r="B2" s="1" t="s">
        <v>63</v>
      </c>
      <c r="C2" s="1" t="s">
        <v>68</v>
      </c>
      <c r="D2" s="2" t="s">
        <v>1</v>
      </c>
      <c r="E2" t="str">
        <f>CONCATENATE(D2, "_", IF(B2 = "Leaves", "A", IF(B2 = "Roots", "B", "NA")))</f>
        <v>L_01_A</v>
      </c>
      <c r="F2" s="1" t="s">
        <v>78</v>
      </c>
      <c r="G2" s="3">
        <f>IFERROR(INDEX(biomass!$B$2:$C$61,MATCH(data!D2,biomass!$A$2:$A$61,0),MATCH(data!B2,biomass!$B$1:$C$1,0))*1000,"NA")</f>
        <v>1181</v>
      </c>
      <c r="H2" t="str">
        <f>IF($F2= "bare", 0, IFERROR(INDEX(carbon!$A$14:$J$48,MATCH("*"&amp;data!$E2&amp;"*",carbon!$A$14:$A$48,0),2), "NA") )</f>
        <v>NA</v>
      </c>
      <c r="I2" t="str">
        <f>IF($F2= "bare", 0, IFERROR(INDEX(carbon!$A$14:$J$48,MATCH("*"&amp;data!$E2&amp;"*",carbon!$A$14:$A$48,0),4), "NA") )</f>
        <v>NA</v>
      </c>
      <c r="J2" t="str">
        <f>IF($F2= "bare", 0, IFERROR(INDEX(carbon!$A$14:$J$48,MATCH("*"&amp;data!$E2&amp;"*",carbon!$A$14:$A$48,0),6), "NA") )</f>
        <v>NA</v>
      </c>
      <c r="K2" t="str">
        <f>IF($F2= "bare", 0, IFERROR(INDEX(carbon!$A$14:$J$48,MATCH("*"&amp;data!$E2&amp;"*",carbon!$A$14:$A$48,0),8), "NA") )</f>
        <v>NA</v>
      </c>
    </row>
    <row r="3" spans="1:11" ht="15">
      <c r="A3" s="1" t="s">
        <v>62</v>
      </c>
      <c r="B3" s="1" t="s">
        <v>63</v>
      </c>
      <c r="C3" s="1" t="s">
        <v>68</v>
      </c>
      <c r="D3" s="2" t="s">
        <v>2</v>
      </c>
      <c r="E3" t="str">
        <f t="shared" ref="E3:E66" si="0">CONCATENATE(D3, "_", IF(B3 = "Leaves", "A", IF(B3 = "Roots", "B", "NA")))</f>
        <v>L_02_A</v>
      </c>
      <c r="F3" s="1" t="s">
        <v>78</v>
      </c>
      <c r="G3" s="3">
        <f>IFERROR(INDEX(biomass!$B$2:$C$61,MATCH(data!D3,biomass!$A$2:$A$61,0),MATCH(data!B3,biomass!$B$1:$C$1,0))*1000,"NA")</f>
        <v>1175</v>
      </c>
      <c r="H3" t="str">
        <f>IF($F3= "bare", 0, IFERROR(INDEX(carbon!$A$14:$J$48,MATCH("*"&amp;data!$E3&amp;"*",carbon!$A$14:$A$48,0),2), "NA") )</f>
        <v>NA</v>
      </c>
      <c r="I3" t="str">
        <f>IF($F3= "bare", 0, IFERROR(INDEX(carbon!$A$14:$J$48,MATCH("*"&amp;data!$E3&amp;"*",carbon!$A$14:$A$48,0),4), "NA") )</f>
        <v>NA</v>
      </c>
      <c r="J3" t="str">
        <f>IF($F3= "bare", 0, IFERROR(INDEX(carbon!$A$14:$J$48,MATCH("*"&amp;data!$E3&amp;"*",carbon!$A$14:$A$48,0),6), "NA") )</f>
        <v>NA</v>
      </c>
      <c r="K3" t="str">
        <f>IF($F3= "bare", 0, IFERROR(INDEX(carbon!$A$14:$J$48,MATCH("*"&amp;data!$E3&amp;"*",carbon!$A$14:$A$48,0),8), "NA") )</f>
        <v>NA</v>
      </c>
    </row>
    <row r="4" spans="1:11" ht="15">
      <c r="A4" s="1" t="s">
        <v>62</v>
      </c>
      <c r="B4" s="1" t="s">
        <v>63</v>
      </c>
      <c r="C4" s="1" t="s">
        <v>68</v>
      </c>
      <c r="D4" s="2" t="s">
        <v>3</v>
      </c>
      <c r="E4" t="str">
        <f t="shared" si="0"/>
        <v>L_03_A</v>
      </c>
      <c r="F4" s="1" t="s">
        <v>78</v>
      </c>
      <c r="G4" s="3">
        <f>IFERROR(INDEX(biomass!$B$2:$C$61,MATCH(data!D4,biomass!$A$2:$A$61,0),MATCH(data!B4,biomass!$B$1:$C$1,0))*1000,"NA")</f>
        <v>1909</v>
      </c>
      <c r="H4" t="str">
        <f>IF($F4= "bare", 0, IFERROR(INDEX(carbon!$A$14:$J$48,MATCH("*"&amp;data!$E4&amp;"*",carbon!$A$14:$A$48,0),2), "NA") )</f>
        <v>NA</v>
      </c>
      <c r="I4" t="str">
        <f>IF($F4= "bare", 0, IFERROR(INDEX(carbon!$A$14:$J$48,MATCH("*"&amp;data!$E4&amp;"*",carbon!$A$14:$A$48,0),4), "NA") )</f>
        <v>NA</v>
      </c>
      <c r="J4" t="str">
        <f>IF($F4= "bare", 0, IFERROR(INDEX(carbon!$A$14:$J$48,MATCH("*"&amp;data!$E4&amp;"*",carbon!$A$14:$A$48,0),6), "NA") )</f>
        <v>NA</v>
      </c>
      <c r="K4" t="str">
        <f>IF($F4= "bare", 0, IFERROR(INDEX(carbon!$A$14:$J$48,MATCH("*"&amp;data!$E4&amp;"*",carbon!$A$14:$A$48,0),8), "NA") )</f>
        <v>NA</v>
      </c>
    </row>
    <row r="5" spans="1:11" ht="15">
      <c r="A5" s="1" t="s">
        <v>62</v>
      </c>
      <c r="B5" s="1" t="s">
        <v>63</v>
      </c>
      <c r="C5" s="1" t="s">
        <v>68</v>
      </c>
      <c r="D5" s="2" t="s">
        <v>4</v>
      </c>
      <c r="E5" t="str">
        <f t="shared" si="0"/>
        <v>L_04_A</v>
      </c>
      <c r="F5" s="1" t="s">
        <v>78</v>
      </c>
      <c r="G5" s="3">
        <f>IFERROR(INDEX(biomass!$B$2:$C$61,MATCH(data!D5,biomass!$A$2:$A$61,0),MATCH(data!B5,biomass!$B$1:$C$1,0))*1000,"NA")</f>
        <v>894</v>
      </c>
      <c r="H5" t="str">
        <f>IF($F5= "bare", 0, IFERROR(INDEX(carbon!$A$14:$J$48,MATCH("*"&amp;data!$E5&amp;"*",carbon!$A$14:$A$48,0),2), "NA") )</f>
        <v>NA</v>
      </c>
      <c r="I5" t="str">
        <f>IF($F5= "bare", 0, IFERROR(INDEX(carbon!$A$14:$J$48,MATCH("*"&amp;data!$E5&amp;"*",carbon!$A$14:$A$48,0),4), "NA") )</f>
        <v>NA</v>
      </c>
      <c r="J5" t="str">
        <f>IF($F5= "bare", 0, IFERROR(INDEX(carbon!$A$14:$J$48,MATCH("*"&amp;data!$E5&amp;"*",carbon!$A$14:$A$48,0),6), "NA") )</f>
        <v>NA</v>
      </c>
      <c r="K5" t="str">
        <f>IF($F5= "bare", 0, IFERROR(INDEX(carbon!$A$14:$J$48,MATCH("*"&amp;data!$E5&amp;"*",carbon!$A$14:$A$48,0),8), "NA") )</f>
        <v>NA</v>
      </c>
    </row>
    <row r="6" spans="1:11" ht="15">
      <c r="A6" s="1" t="s">
        <v>62</v>
      </c>
      <c r="B6" s="1" t="s">
        <v>63</v>
      </c>
      <c r="C6" s="1" t="s">
        <v>68</v>
      </c>
      <c r="D6" s="2" t="s">
        <v>5</v>
      </c>
      <c r="E6" t="str">
        <f t="shared" si="0"/>
        <v>L_05_A</v>
      </c>
      <c r="F6" s="1" t="s">
        <v>78</v>
      </c>
      <c r="G6" s="3">
        <f>IFERROR(INDEX(biomass!$B$2:$C$61,MATCH(data!D6,biomass!$A$2:$A$61,0),MATCH(data!B6,biomass!$B$1:$C$1,0))*1000,"NA")</f>
        <v>931</v>
      </c>
      <c r="H6" t="str">
        <f>IF($F6= "bare", 0, IFERROR(INDEX(carbon!$A$14:$J$48,MATCH("*"&amp;data!$E6&amp;"*",carbon!$A$14:$A$48,0),2), "NA") )</f>
        <v>NA</v>
      </c>
      <c r="I6" t="str">
        <f>IF($F6= "bare", 0, IFERROR(INDEX(carbon!$A$14:$J$48,MATCH("*"&amp;data!$E6&amp;"*",carbon!$A$14:$A$48,0),4), "NA") )</f>
        <v>NA</v>
      </c>
      <c r="J6" t="str">
        <f>IF($F6= "bare", 0, IFERROR(INDEX(carbon!$A$14:$J$48,MATCH("*"&amp;data!$E6&amp;"*",carbon!$A$14:$A$48,0),6), "NA") )</f>
        <v>NA</v>
      </c>
      <c r="K6" t="str">
        <f>IF($F6= "bare", 0, IFERROR(INDEX(carbon!$A$14:$J$48,MATCH("*"&amp;data!$E6&amp;"*",carbon!$A$14:$A$48,0),8), "NA") )</f>
        <v>NA</v>
      </c>
    </row>
    <row r="7" spans="1:11" ht="15">
      <c r="A7" s="1" t="s">
        <v>62</v>
      </c>
      <c r="B7" s="1" t="s">
        <v>63</v>
      </c>
      <c r="C7" s="1" t="s">
        <v>68</v>
      </c>
      <c r="D7" s="2" t="s">
        <v>6</v>
      </c>
      <c r="E7" t="str">
        <f t="shared" si="0"/>
        <v>L_06_A</v>
      </c>
      <c r="F7" s="1" t="s">
        <v>78</v>
      </c>
      <c r="G7" s="3">
        <f>IFERROR(INDEX(biomass!$B$2:$C$61,MATCH(data!D7,biomass!$A$2:$A$61,0),MATCH(data!B7,biomass!$B$1:$C$1,0))*1000,"NA")</f>
        <v>812</v>
      </c>
      <c r="H7" t="str">
        <f>IF($F7= "bare", 0, IFERROR(INDEX(carbon!$A$14:$J$48,MATCH("*"&amp;data!$E7&amp;"*",carbon!$A$14:$A$48,0),2), "NA") )</f>
        <v>NA</v>
      </c>
      <c r="I7" t="str">
        <f>IF($F7= "bare", 0, IFERROR(INDEX(carbon!$A$14:$J$48,MATCH("*"&amp;data!$E7&amp;"*",carbon!$A$14:$A$48,0),4), "NA") )</f>
        <v>NA</v>
      </c>
      <c r="J7" t="str">
        <f>IF($F7= "bare", 0, IFERROR(INDEX(carbon!$A$14:$J$48,MATCH("*"&amp;data!$E7&amp;"*",carbon!$A$14:$A$48,0),6), "NA") )</f>
        <v>NA</v>
      </c>
      <c r="K7" t="str">
        <f>IF($F7= "bare", 0, IFERROR(INDEX(carbon!$A$14:$J$48,MATCH("*"&amp;data!$E7&amp;"*",carbon!$A$14:$A$48,0),8), "NA") )</f>
        <v>NA</v>
      </c>
    </row>
    <row r="8" spans="1:11" ht="15">
      <c r="A8" s="1" t="s">
        <v>62</v>
      </c>
      <c r="B8" s="1" t="s">
        <v>63</v>
      </c>
      <c r="C8" s="1" t="s">
        <v>68</v>
      </c>
      <c r="D8" s="2" t="s">
        <v>7</v>
      </c>
      <c r="E8" t="str">
        <f t="shared" si="0"/>
        <v>L_07_A</v>
      </c>
      <c r="F8" s="1" t="s">
        <v>78</v>
      </c>
      <c r="G8" s="3">
        <f>IFERROR(INDEX(biomass!$B$2:$C$61,MATCH(data!D8,biomass!$A$2:$A$61,0),MATCH(data!B8,biomass!$B$1:$C$1,0))*1000,"NA")</f>
        <v>815</v>
      </c>
      <c r="H8" t="str">
        <f>IF($F8= "bare", 0, IFERROR(INDEX(carbon!$A$14:$J$48,MATCH("*"&amp;data!$E8&amp;"*",carbon!$A$14:$A$48,0),2), "NA") )</f>
        <v>NA</v>
      </c>
      <c r="I8" t="str">
        <f>IF($F8= "bare", 0, IFERROR(INDEX(carbon!$A$14:$J$48,MATCH("*"&amp;data!$E8&amp;"*",carbon!$A$14:$A$48,0),4), "NA") )</f>
        <v>NA</v>
      </c>
      <c r="J8" t="str">
        <f>IF($F8= "bare", 0, IFERROR(INDEX(carbon!$A$14:$J$48,MATCH("*"&amp;data!$E8&amp;"*",carbon!$A$14:$A$48,0),6), "NA") )</f>
        <v>NA</v>
      </c>
      <c r="K8" t="str">
        <f>IF($F8= "bare", 0, IFERROR(INDEX(carbon!$A$14:$J$48,MATCH("*"&amp;data!$E8&amp;"*",carbon!$A$14:$A$48,0),8), "NA") )</f>
        <v>NA</v>
      </c>
    </row>
    <row r="9" spans="1:11" ht="15">
      <c r="A9" s="1" t="s">
        <v>62</v>
      </c>
      <c r="B9" s="1" t="s">
        <v>63</v>
      </c>
      <c r="C9" s="1" t="s">
        <v>68</v>
      </c>
      <c r="D9" s="2" t="s">
        <v>8</v>
      </c>
      <c r="E9" t="str">
        <f t="shared" si="0"/>
        <v>L_08_A</v>
      </c>
      <c r="F9" s="1" t="s">
        <v>78</v>
      </c>
      <c r="G9" s="3">
        <f>IFERROR(INDEX(biomass!$B$2:$C$61,MATCH(data!D9,biomass!$A$2:$A$61,0),MATCH(data!B9,biomass!$B$1:$C$1,0))*1000,"NA")</f>
        <v>730</v>
      </c>
      <c r="H9" t="str">
        <f>IF($F9= "bare", 0, IFERROR(INDEX(carbon!$A$14:$J$48,MATCH("*"&amp;data!$E9&amp;"*",carbon!$A$14:$A$48,0),2), "NA") )</f>
        <v>NA</v>
      </c>
      <c r="I9" t="str">
        <f>IF($F9= "bare", 0, IFERROR(INDEX(carbon!$A$14:$J$48,MATCH("*"&amp;data!$E9&amp;"*",carbon!$A$14:$A$48,0),4), "NA") )</f>
        <v>NA</v>
      </c>
      <c r="J9" t="str">
        <f>IF($F9= "bare", 0, IFERROR(INDEX(carbon!$A$14:$J$48,MATCH("*"&amp;data!$E9&amp;"*",carbon!$A$14:$A$48,0),6), "NA") )</f>
        <v>NA</v>
      </c>
      <c r="K9" t="str">
        <f>IF($F9= "bare", 0, IFERROR(INDEX(carbon!$A$14:$J$48,MATCH("*"&amp;data!$E9&amp;"*",carbon!$A$14:$A$48,0),8), "NA") )</f>
        <v>NA</v>
      </c>
    </row>
    <row r="10" spans="1:11" ht="15">
      <c r="A10" s="1" t="s">
        <v>62</v>
      </c>
      <c r="B10" s="1" t="s">
        <v>63</v>
      </c>
      <c r="C10" s="1" t="s">
        <v>68</v>
      </c>
      <c r="D10" s="2" t="s">
        <v>9</v>
      </c>
      <c r="E10" t="str">
        <f t="shared" si="0"/>
        <v>L_09_A</v>
      </c>
      <c r="F10" s="1" t="s">
        <v>78</v>
      </c>
      <c r="G10" s="3">
        <f>IFERROR(INDEX(biomass!$B$2:$C$61,MATCH(data!D10,biomass!$A$2:$A$61,0),MATCH(data!B10,biomass!$B$1:$C$1,0))*1000,"NA")</f>
        <v>807</v>
      </c>
      <c r="H10" t="str">
        <f>IF($F10= "bare", 0, IFERROR(INDEX(carbon!$A$14:$J$48,MATCH("*"&amp;data!$E10&amp;"*",carbon!$A$14:$A$48,0),2), "NA") )</f>
        <v>NA</v>
      </c>
      <c r="I10" t="str">
        <f>IF($F10= "bare", 0, IFERROR(INDEX(carbon!$A$14:$J$48,MATCH("*"&amp;data!$E10&amp;"*",carbon!$A$14:$A$48,0),4), "NA") )</f>
        <v>NA</v>
      </c>
      <c r="J10" t="str">
        <f>IF($F10= "bare", 0, IFERROR(INDEX(carbon!$A$14:$J$48,MATCH("*"&amp;data!$E10&amp;"*",carbon!$A$14:$A$48,0),6), "NA") )</f>
        <v>NA</v>
      </c>
      <c r="K10" t="str">
        <f>IF($F10= "bare", 0, IFERROR(INDEX(carbon!$A$14:$J$48,MATCH("*"&amp;data!$E10&amp;"*",carbon!$A$14:$A$48,0),8), "NA") )</f>
        <v>NA</v>
      </c>
    </row>
    <row r="11" spans="1:11" ht="15">
      <c r="A11" s="1" t="s">
        <v>62</v>
      </c>
      <c r="B11" s="1" t="s">
        <v>63</v>
      </c>
      <c r="C11" s="1" t="s">
        <v>68</v>
      </c>
      <c r="D11" s="2" t="s">
        <v>10</v>
      </c>
      <c r="E11" t="str">
        <f t="shared" si="0"/>
        <v>L_10_A</v>
      </c>
      <c r="F11" s="1" t="s">
        <v>78</v>
      </c>
      <c r="G11" s="3">
        <f>IFERROR(INDEX(biomass!$B$2:$C$61,MATCH(data!D11,biomass!$A$2:$A$61,0),MATCH(data!B11,biomass!$B$1:$C$1,0))*1000,"NA")</f>
        <v>1104</v>
      </c>
      <c r="H11" t="str">
        <f>IF($F11= "bare", 0, IFERROR(INDEX(carbon!$A$14:$J$48,MATCH("*"&amp;data!$E11&amp;"*",carbon!$A$14:$A$48,0),2), "NA") )</f>
        <v>NA</v>
      </c>
      <c r="I11" t="str">
        <f>IF($F11= "bare", 0, IFERROR(INDEX(carbon!$A$14:$J$48,MATCH("*"&amp;data!$E11&amp;"*",carbon!$A$14:$A$48,0),4), "NA") )</f>
        <v>NA</v>
      </c>
      <c r="J11" t="str">
        <f>IF($F11= "bare", 0, IFERROR(INDEX(carbon!$A$14:$J$48,MATCH("*"&amp;data!$E11&amp;"*",carbon!$A$14:$A$48,0),6), "NA") )</f>
        <v>NA</v>
      </c>
      <c r="K11" t="str">
        <f>IF($F11= "bare", 0, IFERROR(INDEX(carbon!$A$14:$J$48,MATCH("*"&amp;data!$E11&amp;"*",carbon!$A$14:$A$48,0),8), "NA") )</f>
        <v>NA</v>
      </c>
    </row>
    <row r="12" spans="1:11" ht="15">
      <c r="A12" s="1" t="s">
        <v>62</v>
      </c>
      <c r="B12" s="1" t="s">
        <v>63</v>
      </c>
      <c r="C12" s="1" t="s">
        <v>68</v>
      </c>
      <c r="D12" s="2" t="s">
        <v>11</v>
      </c>
      <c r="E12" t="str">
        <f t="shared" si="0"/>
        <v>L_11_A</v>
      </c>
      <c r="F12" s="1" t="s">
        <v>78</v>
      </c>
      <c r="G12" s="3">
        <f>IFERROR(INDEX(biomass!$B$2:$C$61,MATCH(data!D12,biomass!$A$2:$A$61,0),MATCH(data!B12,biomass!$B$1:$C$1,0))*1000,"NA")</f>
        <v>1503</v>
      </c>
      <c r="H12" t="str">
        <f>IF($F12= "bare", 0, IFERROR(INDEX(carbon!$A$14:$J$48,MATCH("*"&amp;data!$E12&amp;"*",carbon!$A$14:$A$48,0),2), "NA") )</f>
        <v>NA</v>
      </c>
      <c r="I12" t="str">
        <f>IF($F12= "bare", 0, IFERROR(INDEX(carbon!$A$14:$J$48,MATCH("*"&amp;data!$E12&amp;"*",carbon!$A$14:$A$48,0),4), "NA") )</f>
        <v>NA</v>
      </c>
      <c r="J12" t="str">
        <f>IF($F12= "bare", 0, IFERROR(INDEX(carbon!$A$14:$J$48,MATCH("*"&amp;data!$E12&amp;"*",carbon!$A$14:$A$48,0),6), "NA") )</f>
        <v>NA</v>
      </c>
      <c r="K12" t="str">
        <f>IF($F12= "bare", 0, IFERROR(INDEX(carbon!$A$14:$J$48,MATCH("*"&amp;data!$E12&amp;"*",carbon!$A$14:$A$48,0),8), "NA") )</f>
        <v>NA</v>
      </c>
    </row>
    <row r="13" spans="1:11" ht="15">
      <c r="A13" s="1" t="s">
        <v>62</v>
      </c>
      <c r="B13" s="1" t="s">
        <v>63</v>
      </c>
      <c r="C13" s="1" t="s">
        <v>68</v>
      </c>
      <c r="D13" s="2" t="s">
        <v>12</v>
      </c>
      <c r="E13" t="str">
        <f t="shared" si="0"/>
        <v>L_12_A</v>
      </c>
      <c r="F13" s="1" t="s">
        <v>78</v>
      </c>
      <c r="G13" s="3">
        <f>IFERROR(INDEX(biomass!$B$2:$C$61,MATCH(data!D13,biomass!$A$2:$A$61,0),MATCH(data!B13,biomass!$B$1:$C$1,0))*1000,"NA")</f>
        <v>774</v>
      </c>
      <c r="H13" t="str">
        <f>IF($F13= "bare", 0, IFERROR(INDEX(carbon!$A$14:$J$48,MATCH("*"&amp;data!$E13&amp;"*",carbon!$A$14:$A$48,0),2), "NA") )</f>
        <v>NA</v>
      </c>
      <c r="I13" t="str">
        <f>IF($F13= "bare", 0, IFERROR(INDEX(carbon!$A$14:$J$48,MATCH("*"&amp;data!$E13&amp;"*",carbon!$A$14:$A$48,0),4), "NA") )</f>
        <v>NA</v>
      </c>
      <c r="J13" t="str">
        <f>IF($F13= "bare", 0, IFERROR(INDEX(carbon!$A$14:$J$48,MATCH("*"&amp;data!$E13&amp;"*",carbon!$A$14:$A$48,0),6), "NA") )</f>
        <v>NA</v>
      </c>
      <c r="K13" t="str">
        <f>IF($F13= "bare", 0, IFERROR(INDEX(carbon!$A$14:$J$48,MATCH("*"&amp;data!$E13&amp;"*",carbon!$A$14:$A$48,0),8), "NA") )</f>
        <v>NA</v>
      </c>
    </row>
    <row r="14" spans="1:11" ht="15">
      <c r="A14" s="1" t="s">
        <v>62</v>
      </c>
      <c r="B14" s="1" t="s">
        <v>63</v>
      </c>
      <c r="C14" s="1" t="s">
        <v>68</v>
      </c>
      <c r="D14" s="2" t="s">
        <v>13</v>
      </c>
      <c r="E14" t="str">
        <f t="shared" si="0"/>
        <v>L_13_A</v>
      </c>
      <c r="F14" s="1" t="s">
        <v>78</v>
      </c>
      <c r="G14" s="3">
        <f>IFERROR(INDEX(biomass!$B$2:$C$61,MATCH(data!D14,biomass!$A$2:$A$61,0),MATCH(data!B14,biomass!$B$1:$C$1,0))*1000,"NA")</f>
        <v>935</v>
      </c>
      <c r="H14" t="str">
        <f>IF($F14= "bare", 0, IFERROR(INDEX(carbon!$A$14:$J$48,MATCH("*"&amp;data!$E14&amp;"*",carbon!$A$14:$A$48,0),2), "NA") )</f>
        <v>NA</v>
      </c>
      <c r="I14" t="str">
        <f>IF($F14= "bare", 0, IFERROR(INDEX(carbon!$A$14:$J$48,MATCH("*"&amp;data!$E14&amp;"*",carbon!$A$14:$A$48,0),4), "NA") )</f>
        <v>NA</v>
      </c>
      <c r="J14" t="str">
        <f>IF($F14= "bare", 0, IFERROR(INDEX(carbon!$A$14:$J$48,MATCH("*"&amp;data!$E14&amp;"*",carbon!$A$14:$A$48,0),6), "NA") )</f>
        <v>NA</v>
      </c>
      <c r="K14" t="str">
        <f>IF($F14= "bare", 0, IFERROR(INDEX(carbon!$A$14:$J$48,MATCH("*"&amp;data!$E14&amp;"*",carbon!$A$14:$A$48,0),8), "NA") )</f>
        <v>NA</v>
      </c>
    </row>
    <row r="15" spans="1:11" ht="15">
      <c r="A15" s="1" t="s">
        <v>62</v>
      </c>
      <c r="B15" s="1" t="s">
        <v>63</v>
      </c>
      <c r="C15" s="1" t="s">
        <v>68</v>
      </c>
      <c r="D15" s="2" t="s">
        <v>14</v>
      </c>
      <c r="E15" t="str">
        <f t="shared" si="0"/>
        <v>L_14_A</v>
      </c>
      <c r="F15" s="1" t="s">
        <v>78</v>
      </c>
      <c r="G15" s="3">
        <f>IFERROR(INDEX(biomass!$B$2:$C$61,MATCH(data!D15,biomass!$A$2:$A$61,0),MATCH(data!B15,biomass!$B$1:$C$1,0))*1000,"NA")</f>
        <v>882</v>
      </c>
      <c r="H15" t="str">
        <f>IF($F15= "bare", 0, IFERROR(INDEX(carbon!$A$14:$J$48,MATCH("*"&amp;data!$E15&amp;"*",carbon!$A$14:$A$48,0),2), "NA") )</f>
        <v>NA</v>
      </c>
      <c r="I15" t="str">
        <f>IF($F15= "bare", 0, IFERROR(INDEX(carbon!$A$14:$J$48,MATCH("*"&amp;data!$E15&amp;"*",carbon!$A$14:$A$48,0),4), "NA") )</f>
        <v>NA</v>
      </c>
      <c r="J15" t="str">
        <f>IF($F15= "bare", 0, IFERROR(INDEX(carbon!$A$14:$J$48,MATCH("*"&amp;data!$E15&amp;"*",carbon!$A$14:$A$48,0),6), "NA") )</f>
        <v>NA</v>
      </c>
      <c r="K15" t="str">
        <f>IF($F15= "bare", 0, IFERROR(INDEX(carbon!$A$14:$J$48,MATCH("*"&amp;data!$E15&amp;"*",carbon!$A$14:$A$48,0),8), "NA") )</f>
        <v>NA</v>
      </c>
    </row>
    <row r="16" spans="1:11" ht="15">
      <c r="A16" s="1" t="s">
        <v>62</v>
      </c>
      <c r="B16" s="1" t="s">
        <v>63</v>
      </c>
      <c r="C16" s="1" t="s">
        <v>68</v>
      </c>
      <c r="D16" s="2" t="s">
        <v>15</v>
      </c>
      <c r="E16" t="str">
        <f t="shared" si="0"/>
        <v>L_15_A</v>
      </c>
      <c r="F16" s="1" t="s">
        <v>78</v>
      </c>
      <c r="G16" s="3">
        <f>IFERROR(INDEX(biomass!$B$2:$C$61,MATCH(data!D16,biomass!$A$2:$A$61,0),MATCH(data!B16,biomass!$B$1:$C$1,0))*1000,"NA")</f>
        <v>628</v>
      </c>
      <c r="H16" t="str">
        <f>IF($F16= "bare", 0, IFERROR(INDEX(carbon!$A$14:$J$48,MATCH("*"&amp;data!$E16&amp;"*",carbon!$A$14:$A$48,0),2), "NA") )</f>
        <v>NA</v>
      </c>
      <c r="I16" t="str">
        <f>IF($F16= "bare", 0, IFERROR(INDEX(carbon!$A$14:$J$48,MATCH("*"&amp;data!$E16&amp;"*",carbon!$A$14:$A$48,0),4), "NA") )</f>
        <v>NA</v>
      </c>
      <c r="J16" t="str">
        <f>IF($F16= "bare", 0, IFERROR(INDEX(carbon!$A$14:$J$48,MATCH("*"&amp;data!$E16&amp;"*",carbon!$A$14:$A$48,0),6), "NA") )</f>
        <v>NA</v>
      </c>
      <c r="K16" t="str">
        <f>IF($F16= "bare", 0, IFERROR(INDEX(carbon!$A$14:$J$48,MATCH("*"&amp;data!$E16&amp;"*",carbon!$A$14:$A$48,0),8), "NA") )</f>
        <v>NA</v>
      </c>
    </row>
    <row r="17" spans="1:11" ht="15">
      <c r="A17" s="1" t="s">
        <v>62</v>
      </c>
      <c r="B17" s="1" t="s">
        <v>63</v>
      </c>
      <c r="C17" s="1" t="s">
        <v>68</v>
      </c>
      <c r="D17" s="2" t="s">
        <v>16</v>
      </c>
      <c r="E17" t="str">
        <f t="shared" si="0"/>
        <v>L_16_A</v>
      </c>
      <c r="F17" s="1" t="s">
        <v>78</v>
      </c>
      <c r="G17" s="3">
        <f>IFERROR(INDEX(biomass!$B$2:$C$61,MATCH(data!D17,biomass!$A$2:$A$61,0),MATCH(data!B17,biomass!$B$1:$C$1,0))*1000,"NA")</f>
        <v>771</v>
      </c>
      <c r="H17" t="str">
        <f>IF($F17= "bare", 0, IFERROR(INDEX(carbon!$A$14:$J$48,MATCH("*"&amp;data!$E17&amp;"*",carbon!$A$14:$A$48,0),2), "NA") )</f>
        <v>NA</v>
      </c>
      <c r="I17" t="str">
        <f>IF($F17= "bare", 0, IFERROR(INDEX(carbon!$A$14:$J$48,MATCH("*"&amp;data!$E17&amp;"*",carbon!$A$14:$A$48,0),4), "NA") )</f>
        <v>NA</v>
      </c>
      <c r="J17" t="str">
        <f>IF($F17= "bare", 0, IFERROR(INDEX(carbon!$A$14:$J$48,MATCH("*"&amp;data!$E17&amp;"*",carbon!$A$14:$A$48,0),6), "NA") )</f>
        <v>NA</v>
      </c>
      <c r="K17" t="str">
        <f>IF($F17= "bare", 0, IFERROR(INDEX(carbon!$A$14:$J$48,MATCH("*"&amp;data!$E17&amp;"*",carbon!$A$14:$A$48,0),8), "NA") )</f>
        <v>NA</v>
      </c>
    </row>
    <row r="18" spans="1:11" ht="15">
      <c r="A18" s="1" t="s">
        <v>62</v>
      </c>
      <c r="B18" s="1" t="s">
        <v>63</v>
      </c>
      <c r="C18" s="1" t="s">
        <v>68</v>
      </c>
      <c r="D18" s="2" t="s">
        <v>17</v>
      </c>
      <c r="E18" t="str">
        <f t="shared" si="0"/>
        <v>L_17_A</v>
      </c>
      <c r="F18" s="1" t="s">
        <v>78</v>
      </c>
      <c r="G18" s="3">
        <f>IFERROR(INDEX(biomass!$B$2:$C$61,MATCH(data!D18,biomass!$A$2:$A$61,0),MATCH(data!B18,biomass!$B$1:$C$1,0))*1000,"NA")</f>
        <v>626</v>
      </c>
      <c r="H18" t="str">
        <f>IF($F18= "bare", 0, IFERROR(INDEX(carbon!$A$14:$J$48,MATCH("*"&amp;data!$E18&amp;"*",carbon!$A$14:$A$48,0),2), "NA") )</f>
        <v>NA</v>
      </c>
      <c r="I18" t="str">
        <f>IF($F18= "bare", 0, IFERROR(INDEX(carbon!$A$14:$J$48,MATCH("*"&amp;data!$E18&amp;"*",carbon!$A$14:$A$48,0),4), "NA") )</f>
        <v>NA</v>
      </c>
      <c r="J18" t="str">
        <f>IF($F18= "bare", 0, IFERROR(INDEX(carbon!$A$14:$J$48,MATCH("*"&amp;data!$E18&amp;"*",carbon!$A$14:$A$48,0),6), "NA") )</f>
        <v>NA</v>
      </c>
      <c r="K18" t="str">
        <f>IF($F18= "bare", 0, IFERROR(INDEX(carbon!$A$14:$J$48,MATCH("*"&amp;data!$E18&amp;"*",carbon!$A$14:$A$48,0),8), "NA") )</f>
        <v>NA</v>
      </c>
    </row>
    <row r="19" spans="1:11" ht="15">
      <c r="A19" s="1" t="s">
        <v>62</v>
      </c>
      <c r="B19" s="1" t="s">
        <v>63</v>
      </c>
      <c r="C19" s="1" t="s">
        <v>68</v>
      </c>
      <c r="D19" s="2" t="s">
        <v>18</v>
      </c>
      <c r="E19" t="str">
        <f t="shared" si="0"/>
        <v>L_18_A</v>
      </c>
      <c r="F19" s="1" t="s">
        <v>78</v>
      </c>
      <c r="G19" s="3">
        <f>IFERROR(INDEX(biomass!$B$2:$C$61,MATCH(data!D19,biomass!$A$2:$A$61,0),MATCH(data!B19,biomass!$B$1:$C$1,0))*1000,"NA")</f>
        <v>1459</v>
      </c>
      <c r="H19" t="str">
        <f>IF($F19= "bare", 0, IFERROR(INDEX(carbon!$A$14:$J$48,MATCH("*"&amp;data!$E19&amp;"*",carbon!$A$14:$A$48,0),2), "NA") )</f>
        <v>NA</v>
      </c>
      <c r="I19" t="str">
        <f>IF($F19= "bare", 0, IFERROR(INDEX(carbon!$A$14:$J$48,MATCH("*"&amp;data!$E19&amp;"*",carbon!$A$14:$A$48,0),4), "NA") )</f>
        <v>NA</v>
      </c>
      <c r="J19" t="str">
        <f>IF($F19= "bare", 0, IFERROR(INDEX(carbon!$A$14:$J$48,MATCH("*"&amp;data!$E19&amp;"*",carbon!$A$14:$A$48,0),6), "NA") )</f>
        <v>NA</v>
      </c>
      <c r="K19" t="str">
        <f>IF($F19= "bare", 0, IFERROR(INDEX(carbon!$A$14:$J$48,MATCH("*"&amp;data!$E19&amp;"*",carbon!$A$14:$A$48,0),8), "NA") )</f>
        <v>NA</v>
      </c>
    </row>
    <row r="20" spans="1:11" ht="15">
      <c r="A20" s="1" t="s">
        <v>62</v>
      </c>
      <c r="B20" s="1" t="s">
        <v>63</v>
      </c>
      <c r="C20" s="1" t="s">
        <v>68</v>
      </c>
      <c r="D20" s="2" t="s">
        <v>19</v>
      </c>
      <c r="E20" t="str">
        <f t="shared" si="0"/>
        <v>L_19_A</v>
      </c>
      <c r="F20" s="1" t="s">
        <v>78</v>
      </c>
      <c r="G20" s="3">
        <f>IFERROR(INDEX(biomass!$B$2:$C$61,MATCH(data!D20,biomass!$A$2:$A$61,0),MATCH(data!B20,biomass!$B$1:$C$1,0))*1000,"NA")</f>
        <v>691</v>
      </c>
      <c r="H20" t="str">
        <f>IF($F20= "bare", 0, IFERROR(INDEX(carbon!$A$14:$J$48,MATCH("*"&amp;data!$E20&amp;"*",carbon!$A$14:$A$48,0),2), "NA") )</f>
        <v>NA</v>
      </c>
      <c r="I20" t="str">
        <f>IF($F20= "bare", 0, IFERROR(INDEX(carbon!$A$14:$J$48,MATCH("*"&amp;data!$E20&amp;"*",carbon!$A$14:$A$48,0),4), "NA") )</f>
        <v>NA</v>
      </c>
      <c r="J20" t="str">
        <f>IF($F20= "bare", 0, IFERROR(INDEX(carbon!$A$14:$J$48,MATCH("*"&amp;data!$E20&amp;"*",carbon!$A$14:$A$48,0),6), "NA") )</f>
        <v>NA</v>
      </c>
      <c r="K20" t="str">
        <f>IF($F20= "bare", 0, IFERROR(INDEX(carbon!$A$14:$J$48,MATCH("*"&amp;data!$E20&amp;"*",carbon!$A$14:$A$48,0),8), "NA") )</f>
        <v>NA</v>
      </c>
    </row>
    <row r="21" spans="1:11" ht="15">
      <c r="A21" s="1" t="s">
        <v>62</v>
      </c>
      <c r="B21" s="1" t="s">
        <v>63</v>
      </c>
      <c r="C21" s="1" t="s">
        <v>68</v>
      </c>
      <c r="D21" s="2" t="s">
        <v>20</v>
      </c>
      <c r="E21" t="str">
        <f t="shared" si="0"/>
        <v>L_20_A</v>
      </c>
      <c r="F21" s="1" t="s">
        <v>78</v>
      </c>
      <c r="G21" s="3">
        <f>IFERROR(INDEX(biomass!$B$2:$C$61,MATCH(data!D21,biomass!$A$2:$A$61,0),MATCH(data!B21,biomass!$B$1:$C$1,0))*1000,"NA")</f>
        <v>58</v>
      </c>
      <c r="H21" t="str">
        <f>IF($F21= "bare", 0, IFERROR(INDEX(carbon!$A$14:$J$48,MATCH("*"&amp;data!$E21&amp;"*",carbon!$A$14:$A$48,0),2), "NA") )</f>
        <v>NA</v>
      </c>
      <c r="I21" t="str">
        <f>IF($F21= "bare", 0, IFERROR(INDEX(carbon!$A$14:$J$48,MATCH("*"&amp;data!$E21&amp;"*",carbon!$A$14:$A$48,0),4), "NA") )</f>
        <v>NA</v>
      </c>
      <c r="J21" t="str">
        <f>IF($F21= "bare", 0, IFERROR(INDEX(carbon!$A$14:$J$48,MATCH("*"&amp;data!$E21&amp;"*",carbon!$A$14:$A$48,0),6), "NA") )</f>
        <v>NA</v>
      </c>
      <c r="K21" t="str">
        <f>IF($F21= "bare", 0, IFERROR(INDEX(carbon!$A$14:$J$48,MATCH("*"&amp;data!$E21&amp;"*",carbon!$A$14:$A$48,0),8), "NA") )</f>
        <v>NA</v>
      </c>
    </row>
    <row r="22" spans="1:11" ht="15">
      <c r="A22" s="1" t="s">
        <v>62</v>
      </c>
      <c r="B22" s="1" t="s">
        <v>63</v>
      </c>
      <c r="C22" s="1" t="s">
        <v>68</v>
      </c>
      <c r="D22" s="2" t="s">
        <v>21</v>
      </c>
      <c r="E22" t="str">
        <f t="shared" si="0"/>
        <v>L_21_A</v>
      </c>
      <c r="F22" s="1" t="s">
        <v>78</v>
      </c>
      <c r="G22" s="3">
        <f>IFERROR(INDEX(biomass!$B$2:$C$61,MATCH(data!D22,biomass!$A$2:$A$61,0),MATCH(data!B22,biomass!$B$1:$C$1,0))*1000,"NA")</f>
        <v>718</v>
      </c>
      <c r="H22" t="str">
        <f>IF($F22= "bare", 0, IFERROR(INDEX(carbon!$A$14:$J$48,MATCH("*"&amp;data!$E22&amp;"*",carbon!$A$14:$A$48,0),2), "NA") )</f>
        <v>NA</v>
      </c>
      <c r="I22" t="str">
        <f>IF($F22= "bare", 0, IFERROR(INDEX(carbon!$A$14:$J$48,MATCH("*"&amp;data!$E22&amp;"*",carbon!$A$14:$A$48,0),4), "NA") )</f>
        <v>NA</v>
      </c>
      <c r="J22" t="str">
        <f>IF($F22= "bare", 0, IFERROR(INDEX(carbon!$A$14:$J$48,MATCH("*"&amp;data!$E22&amp;"*",carbon!$A$14:$A$48,0),6), "NA") )</f>
        <v>NA</v>
      </c>
      <c r="K22" t="str">
        <f>IF($F22= "bare", 0, IFERROR(INDEX(carbon!$A$14:$J$48,MATCH("*"&amp;data!$E22&amp;"*",carbon!$A$14:$A$48,0),8), "NA") )</f>
        <v>NA</v>
      </c>
    </row>
    <row r="23" spans="1:11" ht="15">
      <c r="A23" s="1" t="s">
        <v>62</v>
      </c>
      <c r="B23" s="1" t="s">
        <v>63</v>
      </c>
      <c r="C23" s="1" t="s">
        <v>68</v>
      </c>
      <c r="D23" s="2" t="s">
        <v>22</v>
      </c>
      <c r="E23" t="str">
        <f t="shared" si="0"/>
        <v>L_22_A</v>
      </c>
      <c r="F23" s="1" t="s">
        <v>78</v>
      </c>
      <c r="G23" s="3">
        <f>IFERROR(INDEX(biomass!$B$2:$C$61,MATCH(data!D23,biomass!$A$2:$A$61,0),MATCH(data!B23,biomass!$B$1:$C$1,0))*1000,"NA")</f>
        <v>248</v>
      </c>
      <c r="H23" t="str">
        <f>IF($F23= "bare", 0, IFERROR(INDEX(carbon!$A$14:$J$48,MATCH("*"&amp;data!$E23&amp;"*",carbon!$A$14:$A$48,0),2), "NA") )</f>
        <v>NA</v>
      </c>
      <c r="I23" t="str">
        <f>IF($F23= "bare", 0, IFERROR(INDEX(carbon!$A$14:$J$48,MATCH("*"&amp;data!$E23&amp;"*",carbon!$A$14:$A$48,0),4), "NA") )</f>
        <v>NA</v>
      </c>
      <c r="J23" t="str">
        <f>IF($F23= "bare", 0, IFERROR(INDEX(carbon!$A$14:$J$48,MATCH("*"&amp;data!$E23&amp;"*",carbon!$A$14:$A$48,0),6), "NA") )</f>
        <v>NA</v>
      </c>
      <c r="K23" t="str">
        <f>IF($F23= "bare", 0, IFERROR(INDEX(carbon!$A$14:$J$48,MATCH("*"&amp;data!$E23&amp;"*",carbon!$A$14:$A$48,0),8), "NA") )</f>
        <v>NA</v>
      </c>
    </row>
    <row r="24" spans="1:11" ht="15">
      <c r="A24" s="1" t="s">
        <v>62</v>
      </c>
      <c r="B24" s="1" t="s">
        <v>63</v>
      </c>
      <c r="C24" s="1" t="s">
        <v>68</v>
      </c>
      <c r="D24" s="2" t="s">
        <v>23</v>
      </c>
      <c r="E24" t="str">
        <f t="shared" si="0"/>
        <v>L_23_A</v>
      </c>
      <c r="F24" s="1" t="s">
        <v>78</v>
      </c>
      <c r="G24" s="3">
        <f>IFERROR(INDEX(biomass!$B$2:$C$61,MATCH(data!D24,biomass!$A$2:$A$61,0),MATCH(data!B24,biomass!$B$1:$C$1,0))*1000,"NA")</f>
        <v>249</v>
      </c>
      <c r="H24" t="str">
        <f>IF($F24= "bare", 0, IFERROR(INDEX(carbon!$A$14:$J$48,MATCH("*"&amp;data!$E24&amp;"*",carbon!$A$14:$A$48,0),2), "NA") )</f>
        <v>NA</v>
      </c>
      <c r="I24" t="str">
        <f>IF($F24= "bare", 0, IFERROR(INDEX(carbon!$A$14:$J$48,MATCH("*"&amp;data!$E24&amp;"*",carbon!$A$14:$A$48,0),4), "NA") )</f>
        <v>NA</v>
      </c>
      <c r="J24" t="str">
        <f>IF($F24= "bare", 0, IFERROR(INDEX(carbon!$A$14:$J$48,MATCH("*"&amp;data!$E24&amp;"*",carbon!$A$14:$A$48,0),6), "NA") )</f>
        <v>NA</v>
      </c>
      <c r="K24" t="str">
        <f>IF($F24= "bare", 0, IFERROR(INDEX(carbon!$A$14:$J$48,MATCH("*"&amp;data!$E24&amp;"*",carbon!$A$14:$A$48,0),8), "NA") )</f>
        <v>NA</v>
      </c>
    </row>
    <row r="25" spans="1:11" ht="15">
      <c r="A25" s="1" t="s">
        <v>62</v>
      </c>
      <c r="B25" s="1" t="s">
        <v>63</v>
      </c>
      <c r="C25" s="1" t="s">
        <v>68</v>
      </c>
      <c r="D25" s="2" t="s">
        <v>24</v>
      </c>
      <c r="E25" t="str">
        <f t="shared" si="0"/>
        <v>L_24_A</v>
      </c>
      <c r="F25" s="1" t="s">
        <v>78</v>
      </c>
      <c r="G25" s="3">
        <f>IFERROR(INDEX(biomass!$B$2:$C$61,MATCH(data!D25,biomass!$A$2:$A$61,0),MATCH(data!B25,biomass!$B$1:$C$1,0))*1000,"NA")</f>
        <v>327</v>
      </c>
      <c r="H25" t="str">
        <f>IF($F25= "bare", 0, IFERROR(INDEX(carbon!$A$14:$J$48,MATCH("*"&amp;data!$E25&amp;"*",carbon!$A$14:$A$48,0),2), "NA") )</f>
        <v>NA</v>
      </c>
      <c r="I25" t="str">
        <f>IF($F25= "bare", 0, IFERROR(INDEX(carbon!$A$14:$J$48,MATCH("*"&amp;data!$E25&amp;"*",carbon!$A$14:$A$48,0),4), "NA") )</f>
        <v>NA</v>
      </c>
      <c r="J25" t="str">
        <f>IF($F25= "bare", 0, IFERROR(INDEX(carbon!$A$14:$J$48,MATCH("*"&amp;data!$E25&amp;"*",carbon!$A$14:$A$48,0),6), "NA") )</f>
        <v>NA</v>
      </c>
      <c r="K25" t="str">
        <f>IF($F25= "bare", 0, IFERROR(INDEX(carbon!$A$14:$J$48,MATCH("*"&amp;data!$E25&amp;"*",carbon!$A$14:$A$48,0),8), "NA") )</f>
        <v>NA</v>
      </c>
    </row>
    <row r="26" spans="1:11" ht="15">
      <c r="A26" s="1" t="s">
        <v>62</v>
      </c>
      <c r="B26" s="1" t="s">
        <v>63</v>
      </c>
      <c r="C26" s="1" t="s">
        <v>68</v>
      </c>
      <c r="D26" s="2" t="s">
        <v>25</v>
      </c>
      <c r="E26" t="str">
        <f t="shared" si="0"/>
        <v>L_25_A</v>
      </c>
      <c r="F26" s="1" t="s">
        <v>78</v>
      </c>
      <c r="G26" s="3">
        <f>IFERROR(INDEX(biomass!$B$2:$C$61,MATCH(data!D26,biomass!$A$2:$A$61,0),MATCH(data!B26,biomass!$B$1:$C$1,0))*1000,"NA")</f>
        <v>150</v>
      </c>
      <c r="H26" t="str">
        <f>IF($F26= "bare", 0, IFERROR(INDEX(carbon!$A$14:$J$48,MATCH("*"&amp;data!$E26&amp;"*",carbon!$A$14:$A$48,0),2), "NA") )</f>
        <v>NA</v>
      </c>
      <c r="I26" t="str">
        <f>IF($F26= "bare", 0, IFERROR(INDEX(carbon!$A$14:$J$48,MATCH("*"&amp;data!$E26&amp;"*",carbon!$A$14:$A$48,0),4), "NA") )</f>
        <v>NA</v>
      </c>
      <c r="J26" t="str">
        <f>IF($F26= "bare", 0, IFERROR(INDEX(carbon!$A$14:$J$48,MATCH("*"&amp;data!$E26&amp;"*",carbon!$A$14:$A$48,0),6), "NA") )</f>
        <v>NA</v>
      </c>
      <c r="K26" t="str">
        <f>IF($F26= "bare", 0, IFERROR(INDEX(carbon!$A$14:$J$48,MATCH("*"&amp;data!$E26&amp;"*",carbon!$A$14:$A$48,0),8), "NA") )</f>
        <v>NA</v>
      </c>
    </row>
    <row r="27" spans="1:11" ht="15">
      <c r="A27" s="1" t="s">
        <v>62</v>
      </c>
      <c r="B27" s="1" t="s">
        <v>64</v>
      </c>
      <c r="C27" s="1" t="s">
        <v>68</v>
      </c>
      <c r="D27" s="2" t="s">
        <v>1</v>
      </c>
      <c r="E27" t="str">
        <f t="shared" si="0"/>
        <v>L_01_B</v>
      </c>
      <c r="F27" s="1" t="s">
        <v>78</v>
      </c>
      <c r="G27" s="3">
        <f>IFERROR(INDEX(biomass!$B$2:$C$61,MATCH(data!D27,biomass!$A$2:$A$61,0),MATCH(data!B27,biomass!$B$1:$C$1,0))*1000,"NA")</f>
        <v>1256</v>
      </c>
      <c r="H27" t="str">
        <f>IF($F27= "bare", 0, IFERROR(INDEX(carbon!$A$14:$J$48,MATCH("*"&amp;data!$E27&amp;"*",carbon!$A$14:$A$48,0),2), "NA") )</f>
        <v>NA</v>
      </c>
      <c r="I27" t="str">
        <f>IF($F27= "bare", 0, IFERROR(INDEX(carbon!$A$14:$J$48,MATCH("*"&amp;data!$E27&amp;"*",carbon!$A$14:$A$48,0),4), "NA") )</f>
        <v>NA</v>
      </c>
      <c r="J27" t="str">
        <f>IF($F27= "bare", 0, IFERROR(INDEX(carbon!$A$14:$J$48,MATCH("*"&amp;data!$E27&amp;"*",carbon!$A$14:$A$48,0),6), "NA") )</f>
        <v>NA</v>
      </c>
      <c r="K27" t="str">
        <f>IF($F27= "bare", 0, IFERROR(INDEX(carbon!$A$14:$J$48,MATCH("*"&amp;data!$E27&amp;"*",carbon!$A$14:$A$48,0),8), "NA") )</f>
        <v>NA</v>
      </c>
    </row>
    <row r="28" spans="1:11" ht="15">
      <c r="A28" s="1" t="s">
        <v>62</v>
      </c>
      <c r="B28" s="1" t="s">
        <v>64</v>
      </c>
      <c r="C28" s="1" t="s">
        <v>68</v>
      </c>
      <c r="D28" s="2" t="s">
        <v>2</v>
      </c>
      <c r="E28" t="str">
        <f t="shared" si="0"/>
        <v>L_02_B</v>
      </c>
      <c r="F28" s="1" t="s">
        <v>78</v>
      </c>
      <c r="G28" s="3">
        <f>IFERROR(INDEX(biomass!$B$2:$C$61,MATCH(data!D28,biomass!$A$2:$A$61,0),MATCH(data!B28,biomass!$B$1:$C$1,0))*1000,"NA")</f>
        <v>636</v>
      </c>
      <c r="H28" t="str">
        <f>IF($F28= "bare", 0, IFERROR(INDEX(carbon!$A$14:$J$48,MATCH("*"&amp;data!$E28&amp;"*",carbon!$A$14:$A$48,0),2), "NA") )</f>
        <v>NA</v>
      </c>
      <c r="I28" t="str">
        <f>IF($F28= "bare", 0, IFERROR(INDEX(carbon!$A$14:$J$48,MATCH("*"&amp;data!$E28&amp;"*",carbon!$A$14:$A$48,0),4), "NA") )</f>
        <v>NA</v>
      </c>
      <c r="J28" t="str">
        <f>IF($F28= "bare", 0, IFERROR(INDEX(carbon!$A$14:$J$48,MATCH("*"&amp;data!$E28&amp;"*",carbon!$A$14:$A$48,0),6), "NA") )</f>
        <v>NA</v>
      </c>
      <c r="K28" t="str">
        <f>IF($F28= "bare", 0, IFERROR(INDEX(carbon!$A$14:$J$48,MATCH("*"&amp;data!$E28&amp;"*",carbon!$A$14:$A$48,0),8), "NA") )</f>
        <v>NA</v>
      </c>
    </row>
    <row r="29" spans="1:11" ht="15">
      <c r="A29" s="1" t="s">
        <v>62</v>
      </c>
      <c r="B29" s="1" t="s">
        <v>64</v>
      </c>
      <c r="C29" s="1" t="s">
        <v>68</v>
      </c>
      <c r="D29" s="2" t="s">
        <v>3</v>
      </c>
      <c r="E29" t="str">
        <f t="shared" si="0"/>
        <v>L_03_B</v>
      </c>
      <c r="F29" s="1" t="s">
        <v>78</v>
      </c>
      <c r="G29" s="3">
        <f>IFERROR(INDEX(biomass!$B$2:$C$61,MATCH(data!D29,biomass!$A$2:$A$61,0),MATCH(data!B29,biomass!$B$1:$C$1,0))*1000,"NA")</f>
        <v>832</v>
      </c>
      <c r="H29" t="str">
        <f>IF($F29= "bare", 0, IFERROR(INDEX(carbon!$A$14:$J$48,MATCH("*"&amp;data!$E29&amp;"*",carbon!$A$14:$A$48,0),2), "NA") )</f>
        <v>NA</v>
      </c>
      <c r="I29" t="str">
        <f>IF($F29= "bare", 0, IFERROR(INDEX(carbon!$A$14:$J$48,MATCH("*"&amp;data!$E29&amp;"*",carbon!$A$14:$A$48,0),4), "NA") )</f>
        <v>NA</v>
      </c>
      <c r="J29" t="str">
        <f>IF($F29= "bare", 0, IFERROR(INDEX(carbon!$A$14:$J$48,MATCH("*"&amp;data!$E29&amp;"*",carbon!$A$14:$A$48,0),6), "NA") )</f>
        <v>NA</v>
      </c>
      <c r="K29" t="str">
        <f>IF($F29= "bare", 0, IFERROR(INDEX(carbon!$A$14:$J$48,MATCH("*"&amp;data!$E29&amp;"*",carbon!$A$14:$A$48,0),8), "NA") )</f>
        <v>NA</v>
      </c>
    </row>
    <row r="30" spans="1:11" ht="15">
      <c r="A30" s="1" t="s">
        <v>62</v>
      </c>
      <c r="B30" s="1" t="s">
        <v>64</v>
      </c>
      <c r="C30" s="1" t="s">
        <v>68</v>
      </c>
      <c r="D30" s="2" t="s">
        <v>4</v>
      </c>
      <c r="E30" t="str">
        <f t="shared" si="0"/>
        <v>L_04_B</v>
      </c>
      <c r="F30" s="1" t="s">
        <v>78</v>
      </c>
      <c r="G30" s="3">
        <f>IFERROR(INDEX(biomass!$B$2:$C$61,MATCH(data!D30,biomass!$A$2:$A$61,0),MATCH(data!B30,biomass!$B$1:$C$1,0))*1000,"NA")</f>
        <v>1121</v>
      </c>
      <c r="H30" t="str">
        <f>IF($F30= "bare", 0, IFERROR(INDEX(carbon!$A$14:$J$48,MATCH("*"&amp;data!$E30&amp;"*",carbon!$A$14:$A$48,0),2), "NA") )</f>
        <v>NA</v>
      </c>
      <c r="I30" t="str">
        <f>IF($F30= "bare", 0, IFERROR(INDEX(carbon!$A$14:$J$48,MATCH("*"&amp;data!$E30&amp;"*",carbon!$A$14:$A$48,0),4), "NA") )</f>
        <v>NA</v>
      </c>
      <c r="J30" t="str">
        <f>IF($F30= "bare", 0, IFERROR(INDEX(carbon!$A$14:$J$48,MATCH("*"&amp;data!$E30&amp;"*",carbon!$A$14:$A$48,0),6), "NA") )</f>
        <v>NA</v>
      </c>
      <c r="K30" t="str">
        <f>IF($F30= "bare", 0, IFERROR(INDEX(carbon!$A$14:$J$48,MATCH("*"&amp;data!$E30&amp;"*",carbon!$A$14:$A$48,0),8), "NA") )</f>
        <v>NA</v>
      </c>
    </row>
    <row r="31" spans="1:11" ht="15">
      <c r="A31" s="1" t="s">
        <v>62</v>
      </c>
      <c r="B31" s="1" t="s">
        <v>64</v>
      </c>
      <c r="C31" s="1" t="s">
        <v>68</v>
      </c>
      <c r="D31" s="2" t="s">
        <v>5</v>
      </c>
      <c r="E31" t="str">
        <f t="shared" si="0"/>
        <v>L_05_B</v>
      </c>
      <c r="F31" s="1" t="s">
        <v>78</v>
      </c>
      <c r="G31" s="3">
        <f>IFERROR(INDEX(biomass!$B$2:$C$61,MATCH(data!D31,biomass!$A$2:$A$61,0),MATCH(data!B31,biomass!$B$1:$C$1,0))*1000,"NA")</f>
        <v>1666</v>
      </c>
      <c r="H31" t="str">
        <f>IF($F31= "bare", 0, IFERROR(INDEX(carbon!$A$14:$J$48,MATCH("*"&amp;data!$E31&amp;"*",carbon!$A$14:$A$48,0),2), "NA") )</f>
        <v>NA</v>
      </c>
      <c r="I31" t="str">
        <f>IF($F31= "bare", 0, IFERROR(INDEX(carbon!$A$14:$J$48,MATCH("*"&amp;data!$E31&amp;"*",carbon!$A$14:$A$48,0),4), "NA") )</f>
        <v>NA</v>
      </c>
      <c r="J31" t="str">
        <f>IF($F31= "bare", 0, IFERROR(INDEX(carbon!$A$14:$J$48,MATCH("*"&amp;data!$E31&amp;"*",carbon!$A$14:$A$48,0),6), "NA") )</f>
        <v>NA</v>
      </c>
      <c r="K31" t="str">
        <f>IF($F31= "bare", 0, IFERROR(INDEX(carbon!$A$14:$J$48,MATCH("*"&amp;data!$E31&amp;"*",carbon!$A$14:$A$48,0),8), "NA") )</f>
        <v>NA</v>
      </c>
    </row>
    <row r="32" spans="1:11" ht="15">
      <c r="A32" s="1" t="s">
        <v>62</v>
      </c>
      <c r="B32" s="1" t="s">
        <v>64</v>
      </c>
      <c r="C32" s="1" t="s">
        <v>68</v>
      </c>
      <c r="D32" s="2" t="s">
        <v>6</v>
      </c>
      <c r="E32" t="str">
        <f t="shared" si="0"/>
        <v>L_06_B</v>
      </c>
      <c r="F32" s="1" t="s">
        <v>78</v>
      </c>
      <c r="G32" s="3">
        <f>IFERROR(INDEX(biomass!$B$2:$C$61,MATCH(data!D32,biomass!$A$2:$A$61,0),MATCH(data!B32,biomass!$B$1:$C$1,0))*1000,"NA")</f>
        <v>882</v>
      </c>
      <c r="H32" t="str">
        <f>IF($F32= "bare", 0, IFERROR(INDEX(carbon!$A$14:$J$48,MATCH("*"&amp;data!$E32&amp;"*",carbon!$A$14:$A$48,0),2), "NA") )</f>
        <v>NA</v>
      </c>
      <c r="I32" t="str">
        <f>IF($F32= "bare", 0, IFERROR(INDEX(carbon!$A$14:$J$48,MATCH("*"&amp;data!$E32&amp;"*",carbon!$A$14:$A$48,0),4), "NA") )</f>
        <v>NA</v>
      </c>
      <c r="J32" t="str">
        <f>IF($F32= "bare", 0, IFERROR(INDEX(carbon!$A$14:$J$48,MATCH("*"&amp;data!$E32&amp;"*",carbon!$A$14:$A$48,0),6), "NA") )</f>
        <v>NA</v>
      </c>
      <c r="K32" t="str">
        <f>IF($F32= "bare", 0, IFERROR(INDEX(carbon!$A$14:$J$48,MATCH("*"&amp;data!$E32&amp;"*",carbon!$A$14:$A$48,0),8), "NA") )</f>
        <v>NA</v>
      </c>
    </row>
    <row r="33" spans="1:11" ht="15">
      <c r="A33" s="1" t="s">
        <v>62</v>
      </c>
      <c r="B33" s="1" t="s">
        <v>64</v>
      </c>
      <c r="C33" s="1" t="s">
        <v>68</v>
      </c>
      <c r="D33" s="2" t="s">
        <v>7</v>
      </c>
      <c r="E33" t="str">
        <f t="shared" si="0"/>
        <v>L_07_B</v>
      </c>
      <c r="F33" s="1" t="s">
        <v>78</v>
      </c>
      <c r="G33" s="3">
        <f>IFERROR(INDEX(biomass!$B$2:$C$61,MATCH(data!D33,biomass!$A$2:$A$61,0),MATCH(data!B33,biomass!$B$1:$C$1,0))*1000,"NA")</f>
        <v>322</v>
      </c>
      <c r="H33" t="str">
        <f>IF($F33= "bare", 0, IFERROR(INDEX(carbon!$A$14:$J$48,MATCH("*"&amp;data!$E33&amp;"*",carbon!$A$14:$A$48,0),2), "NA") )</f>
        <v>NA</v>
      </c>
      <c r="I33" t="str">
        <f>IF($F33= "bare", 0, IFERROR(INDEX(carbon!$A$14:$J$48,MATCH("*"&amp;data!$E33&amp;"*",carbon!$A$14:$A$48,0),4), "NA") )</f>
        <v>NA</v>
      </c>
      <c r="J33" t="str">
        <f>IF($F33= "bare", 0, IFERROR(INDEX(carbon!$A$14:$J$48,MATCH("*"&amp;data!$E33&amp;"*",carbon!$A$14:$A$48,0),6), "NA") )</f>
        <v>NA</v>
      </c>
      <c r="K33" t="str">
        <f>IF($F33= "bare", 0, IFERROR(INDEX(carbon!$A$14:$J$48,MATCH("*"&amp;data!$E33&amp;"*",carbon!$A$14:$A$48,0),8), "NA") )</f>
        <v>NA</v>
      </c>
    </row>
    <row r="34" spans="1:11" ht="15">
      <c r="A34" s="1" t="s">
        <v>62</v>
      </c>
      <c r="B34" s="1" t="s">
        <v>64</v>
      </c>
      <c r="C34" s="1" t="s">
        <v>68</v>
      </c>
      <c r="D34" s="2" t="s">
        <v>8</v>
      </c>
      <c r="E34" t="str">
        <f t="shared" si="0"/>
        <v>L_08_B</v>
      </c>
      <c r="F34" s="1" t="s">
        <v>78</v>
      </c>
      <c r="G34" s="3">
        <f>IFERROR(INDEX(biomass!$B$2:$C$61,MATCH(data!D34,biomass!$A$2:$A$61,0),MATCH(data!B34,biomass!$B$1:$C$1,0))*1000,"NA")</f>
        <v>913</v>
      </c>
      <c r="H34" t="str">
        <f>IF($F34= "bare", 0, IFERROR(INDEX(carbon!$A$14:$J$48,MATCH("*"&amp;data!$E34&amp;"*",carbon!$A$14:$A$48,0),2), "NA") )</f>
        <v>NA</v>
      </c>
      <c r="I34" t="str">
        <f>IF($F34= "bare", 0, IFERROR(INDEX(carbon!$A$14:$J$48,MATCH("*"&amp;data!$E34&amp;"*",carbon!$A$14:$A$48,0),4), "NA") )</f>
        <v>NA</v>
      </c>
      <c r="J34" t="str">
        <f>IF($F34= "bare", 0, IFERROR(INDEX(carbon!$A$14:$J$48,MATCH("*"&amp;data!$E34&amp;"*",carbon!$A$14:$A$48,0),6), "NA") )</f>
        <v>NA</v>
      </c>
      <c r="K34" t="str">
        <f>IF($F34= "bare", 0, IFERROR(INDEX(carbon!$A$14:$J$48,MATCH("*"&amp;data!$E34&amp;"*",carbon!$A$14:$A$48,0),8), "NA") )</f>
        <v>NA</v>
      </c>
    </row>
    <row r="35" spans="1:11" ht="15">
      <c r="A35" s="1" t="s">
        <v>62</v>
      </c>
      <c r="B35" s="1" t="s">
        <v>64</v>
      </c>
      <c r="C35" s="1" t="s">
        <v>68</v>
      </c>
      <c r="D35" s="2" t="s">
        <v>9</v>
      </c>
      <c r="E35" t="str">
        <f t="shared" si="0"/>
        <v>L_09_B</v>
      </c>
      <c r="F35" s="1" t="s">
        <v>78</v>
      </c>
      <c r="G35" s="3">
        <f>IFERROR(INDEX(biomass!$B$2:$C$61,MATCH(data!D35,biomass!$A$2:$A$61,0),MATCH(data!B35,biomass!$B$1:$C$1,0))*1000,"NA")</f>
        <v>420</v>
      </c>
      <c r="H35" t="str">
        <f>IF($F35= "bare", 0, IFERROR(INDEX(carbon!$A$14:$J$48,MATCH("*"&amp;data!$E35&amp;"*",carbon!$A$14:$A$48,0),2), "NA") )</f>
        <v>NA</v>
      </c>
      <c r="I35" t="str">
        <f>IF($F35= "bare", 0, IFERROR(INDEX(carbon!$A$14:$J$48,MATCH("*"&amp;data!$E35&amp;"*",carbon!$A$14:$A$48,0),4), "NA") )</f>
        <v>NA</v>
      </c>
      <c r="J35" t="str">
        <f>IF($F35= "bare", 0, IFERROR(INDEX(carbon!$A$14:$J$48,MATCH("*"&amp;data!$E35&amp;"*",carbon!$A$14:$A$48,0),6), "NA") )</f>
        <v>NA</v>
      </c>
      <c r="K35" t="str">
        <f>IF($F35= "bare", 0, IFERROR(INDEX(carbon!$A$14:$J$48,MATCH("*"&amp;data!$E35&amp;"*",carbon!$A$14:$A$48,0),8), "NA") )</f>
        <v>NA</v>
      </c>
    </row>
    <row r="36" spans="1:11" ht="15">
      <c r="A36" s="1" t="s">
        <v>62</v>
      </c>
      <c r="B36" s="1" t="s">
        <v>64</v>
      </c>
      <c r="C36" s="1" t="s">
        <v>68</v>
      </c>
      <c r="D36" s="2" t="s">
        <v>10</v>
      </c>
      <c r="E36" t="str">
        <f t="shared" si="0"/>
        <v>L_10_B</v>
      </c>
      <c r="F36" s="1" t="s">
        <v>78</v>
      </c>
      <c r="G36" s="3">
        <f>IFERROR(INDEX(biomass!$B$2:$C$61,MATCH(data!D36,biomass!$A$2:$A$61,0),MATCH(data!B36,biomass!$B$1:$C$1,0))*1000,"NA")</f>
        <v>717</v>
      </c>
      <c r="H36" t="str">
        <f>IF($F36= "bare", 0, IFERROR(INDEX(carbon!$A$14:$J$48,MATCH("*"&amp;data!$E36&amp;"*",carbon!$A$14:$A$48,0),2), "NA") )</f>
        <v>NA</v>
      </c>
      <c r="I36" t="str">
        <f>IF($F36= "bare", 0, IFERROR(INDEX(carbon!$A$14:$J$48,MATCH("*"&amp;data!$E36&amp;"*",carbon!$A$14:$A$48,0),4), "NA") )</f>
        <v>NA</v>
      </c>
      <c r="J36" t="str">
        <f>IF($F36= "bare", 0, IFERROR(INDEX(carbon!$A$14:$J$48,MATCH("*"&amp;data!$E36&amp;"*",carbon!$A$14:$A$48,0),6), "NA") )</f>
        <v>NA</v>
      </c>
      <c r="K36" t="str">
        <f>IF($F36= "bare", 0, IFERROR(INDEX(carbon!$A$14:$J$48,MATCH("*"&amp;data!$E36&amp;"*",carbon!$A$14:$A$48,0),8), "NA") )</f>
        <v>NA</v>
      </c>
    </row>
    <row r="37" spans="1:11" ht="15">
      <c r="A37" s="1" t="s">
        <v>62</v>
      </c>
      <c r="B37" s="1" t="s">
        <v>64</v>
      </c>
      <c r="C37" s="1" t="s">
        <v>68</v>
      </c>
      <c r="D37" s="2" t="s">
        <v>11</v>
      </c>
      <c r="E37" t="str">
        <f t="shared" si="0"/>
        <v>L_11_B</v>
      </c>
      <c r="F37" s="1" t="s">
        <v>78</v>
      </c>
      <c r="G37" s="3">
        <f>IFERROR(INDEX(biomass!$B$2:$C$61,MATCH(data!D37,biomass!$A$2:$A$61,0),MATCH(data!B37,biomass!$B$1:$C$1,0))*1000,"NA")</f>
        <v>1169</v>
      </c>
      <c r="H37" t="str">
        <f>IF($F37= "bare", 0, IFERROR(INDEX(carbon!$A$14:$J$48,MATCH("*"&amp;data!$E37&amp;"*",carbon!$A$14:$A$48,0),2), "NA") )</f>
        <v>NA</v>
      </c>
      <c r="I37" t="str">
        <f>IF($F37= "bare", 0, IFERROR(INDEX(carbon!$A$14:$J$48,MATCH("*"&amp;data!$E37&amp;"*",carbon!$A$14:$A$48,0),4), "NA") )</f>
        <v>NA</v>
      </c>
      <c r="J37" t="str">
        <f>IF($F37= "bare", 0, IFERROR(INDEX(carbon!$A$14:$J$48,MATCH("*"&amp;data!$E37&amp;"*",carbon!$A$14:$A$48,0),6), "NA") )</f>
        <v>NA</v>
      </c>
      <c r="K37" t="str">
        <f>IF($F37= "bare", 0, IFERROR(INDEX(carbon!$A$14:$J$48,MATCH("*"&amp;data!$E37&amp;"*",carbon!$A$14:$A$48,0),8), "NA") )</f>
        <v>NA</v>
      </c>
    </row>
    <row r="38" spans="1:11" ht="15">
      <c r="A38" s="1" t="s">
        <v>62</v>
      </c>
      <c r="B38" s="1" t="s">
        <v>64</v>
      </c>
      <c r="C38" s="1" t="s">
        <v>68</v>
      </c>
      <c r="D38" s="2" t="s">
        <v>12</v>
      </c>
      <c r="E38" t="str">
        <f t="shared" si="0"/>
        <v>L_12_B</v>
      </c>
      <c r="F38" s="1" t="s">
        <v>78</v>
      </c>
      <c r="G38" s="3">
        <f>IFERROR(INDEX(biomass!$B$2:$C$61,MATCH(data!D38,biomass!$A$2:$A$61,0),MATCH(data!B38,biomass!$B$1:$C$1,0))*1000,"NA")</f>
        <v>875</v>
      </c>
      <c r="H38" t="str">
        <f>IF($F38= "bare", 0, IFERROR(INDEX(carbon!$A$14:$J$48,MATCH("*"&amp;data!$E38&amp;"*",carbon!$A$14:$A$48,0),2), "NA") )</f>
        <v>NA</v>
      </c>
      <c r="I38" t="str">
        <f>IF($F38= "bare", 0, IFERROR(INDEX(carbon!$A$14:$J$48,MATCH("*"&amp;data!$E38&amp;"*",carbon!$A$14:$A$48,0),4), "NA") )</f>
        <v>NA</v>
      </c>
      <c r="J38" t="str">
        <f>IF($F38= "bare", 0, IFERROR(INDEX(carbon!$A$14:$J$48,MATCH("*"&amp;data!$E38&amp;"*",carbon!$A$14:$A$48,0),6), "NA") )</f>
        <v>NA</v>
      </c>
      <c r="K38" t="str">
        <f>IF($F38= "bare", 0, IFERROR(INDEX(carbon!$A$14:$J$48,MATCH("*"&amp;data!$E38&amp;"*",carbon!$A$14:$A$48,0),8), "NA") )</f>
        <v>NA</v>
      </c>
    </row>
    <row r="39" spans="1:11" ht="15">
      <c r="A39" s="1" t="s">
        <v>62</v>
      </c>
      <c r="B39" s="1" t="s">
        <v>64</v>
      </c>
      <c r="C39" s="1" t="s">
        <v>68</v>
      </c>
      <c r="D39" s="2" t="s">
        <v>13</v>
      </c>
      <c r="E39" t="str">
        <f t="shared" si="0"/>
        <v>L_13_B</v>
      </c>
      <c r="F39" s="1" t="s">
        <v>78</v>
      </c>
      <c r="G39" s="3">
        <f>IFERROR(INDEX(biomass!$B$2:$C$61,MATCH(data!D39,biomass!$A$2:$A$61,0),MATCH(data!B39,biomass!$B$1:$C$1,0))*1000,"NA")</f>
        <v>1170</v>
      </c>
      <c r="H39" t="str">
        <f>IF($F39= "bare", 0, IFERROR(INDEX(carbon!$A$14:$J$48,MATCH("*"&amp;data!$E39&amp;"*",carbon!$A$14:$A$48,0),2), "NA") )</f>
        <v>NA</v>
      </c>
      <c r="I39" t="str">
        <f>IF($F39= "bare", 0, IFERROR(INDEX(carbon!$A$14:$J$48,MATCH("*"&amp;data!$E39&amp;"*",carbon!$A$14:$A$48,0),4), "NA") )</f>
        <v>NA</v>
      </c>
      <c r="J39" t="str">
        <f>IF($F39= "bare", 0, IFERROR(INDEX(carbon!$A$14:$J$48,MATCH("*"&amp;data!$E39&amp;"*",carbon!$A$14:$A$48,0),6), "NA") )</f>
        <v>NA</v>
      </c>
      <c r="K39" t="str">
        <f>IF($F39= "bare", 0, IFERROR(INDEX(carbon!$A$14:$J$48,MATCH("*"&amp;data!$E39&amp;"*",carbon!$A$14:$A$48,0),8), "NA") )</f>
        <v>NA</v>
      </c>
    </row>
    <row r="40" spans="1:11" ht="15">
      <c r="A40" s="1" t="s">
        <v>62</v>
      </c>
      <c r="B40" s="1" t="s">
        <v>64</v>
      </c>
      <c r="C40" s="1" t="s">
        <v>68</v>
      </c>
      <c r="D40" s="2" t="s">
        <v>14</v>
      </c>
      <c r="E40" t="str">
        <f t="shared" si="0"/>
        <v>L_14_B</v>
      </c>
      <c r="F40" s="1" t="s">
        <v>78</v>
      </c>
      <c r="G40" s="3">
        <f>IFERROR(INDEX(biomass!$B$2:$C$61,MATCH(data!D40,biomass!$A$2:$A$61,0),MATCH(data!B40,biomass!$B$1:$C$1,0))*1000,"NA")</f>
        <v>1068</v>
      </c>
      <c r="H40" t="str">
        <f>IF($F40= "bare", 0, IFERROR(INDEX(carbon!$A$14:$J$48,MATCH("*"&amp;data!$E40&amp;"*",carbon!$A$14:$A$48,0),2), "NA") )</f>
        <v>NA</v>
      </c>
      <c r="I40" t="str">
        <f>IF($F40= "bare", 0, IFERROR(INDEX(carbon!$A$14:$J$48,MATCH("*"&amp;data!$E40&amp;"*",carbon!$A$14:$A$48,0),4), "NA") )</f>
        <v>NA</v>
      </c>
      <c r="J40" t="str">
        <f>IF($F40= "bare", 0, IFERROR(INDEX(carbon!$A$14:$J$48,MATCH("*"&amp;data!$E40&amp;"*",carbon!$A$14:$A$48,0),6), "NA") )</f>
        <v>NA</v>
      </c>
      <c r="K40" t="str">
        <f>IF($F40= "bare", 0, IFERROR(INDEX(carbon!$A$14:$J$48,MATCH("*"&amp;data!$E40&amp;"*",carbon!$A$14:$A$48,0),8), "NA") )</f>
        <v>NA</v>
      </c>
    </row>
    <row r="41" spans="1:11" ht="15">
      <c r="A41" s="1" t="s">
        <v>62</v>
      </c>
      <c r="B41" s="1" t="s">
        <v>64</v>
      </c>
      <c r="C41" s="1" t="s">
        <v>68</v>
      </c>
      <c r="D41" s="2" t="s">
        <v>15</v>
      </c>
      <c r="E41" t="str">
        <f t="shared" si="0"/>
        <v>L_15_B</v>
      </c>
      <c r="F41" s="1" t="s">
        <v>78</v>
      </c>
      <c r="G41" s="3" t="str">
        <f>IFERROR(INDEX(biomass!$B$2:$C$61,MATCH(data!D41,biomass!$A$2:$A$61,0),MATCH(data!B41,biomass!$B$1:$C$1,0))*1000,"NA")</f>
        <v>NA</v>
      </c>
      <c r="H41" t="str">
        <f>IF($F41= "bare", 0, IFERROR(INDEX(carbon!$A$14:$J$48,MATCH("*"&amp;data!$E41&amp;"*",carbon!$A$14:$A$48,0),2), "NA") )</f>
        <v>NA</v>
      </c>
      <c r="I41" t="str">
        <f>IF($F41= "bare", 0, IFERROR(INDEX(carbon!$A$14:$J$48,MATCH("*"&amp;data!$E41&amp;"*",carbon!$A$14:$A$48,0),4), "NA") )</f>
        <v>NA</v>
      </c>
      <c r="J41" t="str">
        <f>IF($F41= "bare", 0, IFERROR(INDEX(carbon!$A$14:$J$48,MATCH("*"&amp;data!$E41&amp;"*",carbon!$A$14:$A$48,0),6), "NA") )</f>
        <v>NA</v>
      </c>
      <c r="K41" t="str">
        <f>IF($F41= "bare", 0, IFERROR(INDEX(carbon!$A$14:$J$48,MATCH("*"&amp;data!$E41&amp;"*",carbon!$A$14:$A$48,0),8), "NA") )</f>
        <v>NA</v>
      </c>
    </row>
    <row r="42" spans="1:11" ht="15">
      <c r="A42" s="1" t="s">
        <v>62</v>
      </c>
      <c r="B42" s="1" t="s">
        <v>64</v>
      </c>
      <c r="C42" s="1" t="s">
        <v>68</v>
      </c>
      <c r="D42" s="2" t="s">
        <v>16</v>
      </c>
      <c r="E42" t="str">
        <f t="shared" si="0"/>
        <v>L_16_B</v>
      </c>
      <c r="F42" s="1" t="s">
        <v>78</v>
      </c>
      <c r="G42" s="3">
        <f>IFERROR(INDEX(biomass!$B$2:$C$61,MATCH(data!D42,biomass!$A$2:$A$61,0),MATCH(data!B42,biomass!$B$1:$C$1,0))*1000,"NA")</f>
        <v>609</v>
      </c>
      <c r="H42" t="str">
        <f>IF($F42= "bare", 0, IFERROR(INDEX(carbon!$A$14:$J$48,MATCH("*"&amp;data!$E42&amp;"*",carbon!$A$14:$A$48,0),2), "NA") )</f>
        <v>NA</v>
      </c>
      <c r="I42" t="str">
        <f>IF($F42= "bare", 0, IFERROR(INDEX(carbon!$A$14:$J$48,MATCH("*"&amp;data!$E42&amp;"*",carbon!$A$14:$A$48,0),4), "NA") )</f>
        <v>NA</v>
      </c>
      <c r="J42" t="str">
        <f>IF($F42= "bare", 0, IFERROR(INDEX(carbon!$A$14:$J$48,MATCH("*"&amp;data!$E42&amp;"*",carbon!$A$14:$A$48,0),6), "NA") )</f>
        <v>NA</v>
      </c>
      <c r="K42" t="str">
        <f>IF($F42= "bare", 0, IFERROR(INDEX(carbon!$A$14:$J$48,MATCH("*"&amp;data!$E42&amp;"*",carbon!$A$14:$A$48,0),8), "NA") )</f>
        <v>NA</v>
      </c>
    </row>
    <row r="43" spans="1:11" ht="15">
      <c r="A43" s="1" t="s">
        <v>62</v>
      </c>
      <c r="B43" s="1" t="s">
        <v>64</v>
      </c>
      <c r="C43" s="1" t="s">
        <v>68</v>
      </c>
      <c r="D43" s="2" t="s">
        <v>17</v>
      </c>
      <c r="E43" t="str">
        <f t="shared" si="0"/>
        <v>L_17_B</v>
      </c>
      <c r="F43" s="1" t="s">
        <v>78</v>
      </c>
      <c r="G43" s="3">
        <f>IFERROR(INDEX(biomass!$B$2:$C$61,MATCH(data!D43,biomass!$A$2:$A$61,0),MATCH(data!B43,biomass!$B$1:$C$1,0))*1000,"NA")</f>
        <v>774</v>
      </c>
      <c r="H43" t="str">
        <f>IF($F43= "bare", 0, IFERROR(INDEX(carbon!$A$14:$J$48,MATCH("*"&amp;data!$E43&amp;"*",carbon!$A$14:$A$48,0),2), "NA") )</f>
        <v>NA</v>
      </c>
      <c r="I43" t="str">
        <f>IF($F43= "bare", 0, IFERROR(INDEX(carbon!$A$14:$J$48,MATCH("*"&amp;data!$E43&amp;"*",carbon!$A$14:$A$48,0),4), "NA") )</f>
        <v>NA</v>
      </c>
      <c r="J43" t="str">
        <f>IF($F43= "bare", 0, IFERROR(INDEX(carbon!$A$14:$J$48,MATCH("*"&amp;data!$E43&amp;"*",carbon!$A$14:$A$48,0),6), "NA") )</f>
        <v>NA</v>
      </c>
      <c r="K43" t="str">
        <f>IF($F43= "bare", 0, IFERROR(INDEX(carbon!$A$14:$J$48,MATCH("*"&amp;data!$E43&amp;"*",carbon!$A$14:$A$48,0),8), "NA") )</f>
        <v>NA</v>
      </c>
    </row>
    <row r="44" spans="1:11" ht="15">
      <c r="A44" s="1" t="s">
        <v>62</v>
      </c>
      <c r="B44" s="1" t="s">
        <v>64</v>
      </c>
      <c r="C44" s="1" t="s">
        <v>68</v>
      </c>
      <c r="D44" s="2" t="s">
        <v>18</v>
      </c>
      <c r="E44" t="str">
        <f t="shared" si="0"/>
        <v>L_18_B</v>
      </c>
      <c r="F44" s="1" t="s">
        <v>78</v>
      </c>
      <c r="G44" s="3">
        <f>IFERROR(INDEX(biomass!$B$2:$C$61,MATCH(data!D44,biomass!$A$2:$A$61,0),MATCH(data!B44,biomass!$B$1:$C$1,0))*1000,"NA")</f>
        <v>1259</v>
      </c>
      <c r="H44" t="str">
        <f>IF($F44= "bare", 0, IFERROR(INDEX(carbon!$A$14:$J$48,MATCH("*"&amp;data!$E44&amp;"*",carbon!$A$14:$A$48,0),2), "NA") )</f>
        <v>NA</v>
      </c>
      <c r="I44" t="str">
        <f>IF($F44= "bare", 0, IFERROR(INDEX(carbon!$A$14:$J$48,MATCH("*"&amp;data!$E44&amp;"*",carbon!$A$14:$A$48,0),4), "NA") )</f>
        <v>NA</v>
      </c>
      <c r="J44" t="str">
        <f>IF($F44= "bare", 0, IFERROR(INDEX(carbon!$A$14:$J$48,MATCH("*"&amp;data!$E44&amp;"*",carbon!$A$14:$A$48,0),6), "NA") )</f>
        <v>NA</v>
      </c>
      <c r="K44" t="str">
        <f>IF($F44= "bare", 0, IFERROR(INDEX(carbon!$A$14:$J$48,MATCH("*"&amp;data!$E44&amp;"*",carbon!$A$14:$A$48,0),8), "NA") )</f>
        <v>NA</v>
      </c>
    </row>
    <row r="45" spans="1:11" ht="15">
      <c r="A45" s="1" t="s">
        <v>62</v>
      </c>
      <c r="B45" s="1" t="s">
        <v>64</v>
      </c>
      <c r="C45" s="1" t="s">
        <v>68</v>
      </c>
      <c r="D45" s="2" t="s">
        <v>19</v>
      </c>
      <c r="E45" t="str">
        <f t="shared" si="0"/>
        <v>L_19_B</v>
      </c>
      <c r="F45" s="1" t="s">
        <v>78</v>
      </c>
      <c r="G45" s="3">
        <f>IFERROR(INDEX(biomass!$B$2:$C$61,MATCH(data!D45,biomass!$A$2:$A$61,0),MATCH(data!B45,biomass!$B$1:$C$1,0))*1000,"NA")</f>
        <v>309</v>
      </c>
      <c r="H45" t="str">
        <f>IF($F45= "bare", 0, IFERROR(INDEX(carbon!$A$14:$J$48,MATCH("*"&amp;data!$E45&amp;"*",carbon!$A$14:$A$48,0),2), "NA") )</f>
        <v>NA</v>
      </c>
      <c r="I45" t="str">
        <f>IF($F45= "bare", 0, IFERROR(INDEX(carbon!$A$14:$J$48,MATCH("*"&amp;data!$E45&amp;"*",carbon!$A$14:$A$48,0),4), "NA") )</f>
        <v>NA</v>
      </c>
      <c r="J45" t="str">
        <f>IF($F45= "bare", 0, IFERROR(INDEX(carbon!$A$14:$J$48,MATCH("*"&amp;data!$E45&amp;"*",carbon!$A$14:$A$48,0),6), "NA") )</f>
        <v>NA</v>
      </c>
      <c r="K45" t="str">
        <f>IF($F45= "bare", 0, IFERROR(INDEX(carbon!$A$14:$J$48,MATCH("*"&amp;data!$E45&amp;"*",carbon!$A$14:$A$48,0),8), "NA") )</f>
        <v>NA</v>
      </c>
    </row>
    <row r="46" spans="1:11" ht="15">
      <c r="A46" s="1" t="s">
        <v>62</v>
      </c>
      <c r="B46" s="1" t="s">
        <v>64</v>
      </c>
      <c r="C46" s="1" t="s">
        <v>68</v>
      </c>
      <c r="D46" s="2" t="s">
        <v>20</v>
      </c>
      <c r="E46" t="str">
        <f t="shared" si="0"/>
        <v>L_20_B</v>
      </c>
      <c r="F46" s="1" t="s">
        <v>78</v>
      </c>
      <c r="G46" s="3">
        <f>IFERROR(INDEX(biomass!$B$2:$C$61,MATCH(data!D46,biomass!$A$2:$A$61,0),MATCH(data!B46,biomass!$B$1:$C$1,0))*1000,"NA")</f>
        <v>108</v>
      </c>
      <c r="H46" t="str">
        <f>IF($F46= "bare", 0, IFERROR(INDEX(carbon!$A$14:$J$48,MATCH("*"&amp;data!$E46&amp;"*",carbon!$A$14:$A$48,0),2), "NA") )</f>
        <v>NA</v>
      </c>
      <c r="I46" t="str">
        <f>IF($F46= "bare", 0, IFERROR(INDEX(carbon!$A$14:$J$48,MATCH("*"&amp;data!$E46&amp;"*",carbon!$A$14:$A$48,0),4), "NA") )</f>
        <v>NA</v>
      </c>
      <c r="J46" t="str">
        <f>IF($F46= "bare", 0, IFERROR(INDEX(carbon!$A$14:$J$48,MATCH("*"&amp;data!$E46&amp;"*",carbon!$A$14:$A$48,0),6), "NA") )</f>
        <v>NA</v>
      </c>
      <c r="K46" t="str">
        <f>IF($F46= "bare", 0, IFERROR(INDEX(carbon!$A$14:$J$48,MATCH("*"&amp;data!$E46&amp;"*",carbon!$A$14:$A$48,0),8), "NA") )</f>
        <v>NA</v>
      </c>
    </row>
    <row r="47" spans="1:11" ht="15">
      <c r="A47" s="1" t="s">
        <v>62</v>
      </c>
      <c r="B47" s="1" t="s">
        <v>64</v>
      </c>
      <c r="C47" s="1" t="s">
        <v>68</v>
      </c>
      <c r="D47" s="2" t="s">
        <v>21</v>
      </c>
      <c r="E47" t="str">
        <f t="shared" si="0"/>
        <v>L_21_B</v>
      </c>
      <c r="F47" s="1" t="s">
        <v>78</v>
      </c>
      <c r="G47" s="3">
        <f>IFERROR(INDEX(biomass!$B$2:$C$61,MATCH(data!D47,biomass!$A$2:$A$61,0),MATCH(data!B47,biomass!$B$1:$C$1,0))*1000,"NA")</f>
        <v>1096</v>
      </c>
      <c r="H47" t="str">
        <f>IF($F47= "bare", 0, IFERROR(INDEX(carbon!$A$14:$J$48,MATCH("*"&amp;data!$E47&amp;"*",carbon!$A$14:$A$48,0),2), "NA") )</f>
        <v>NA</v>
      </c>
      <c r="I47" t="str">
        <f>IF($F47= "bare", 0, IFERROR(INDEX(carbon!$A$14:$J$48,MATCH("*"&amp;data!$E47&amp;"*",carbon!$A$14:$A$48,0),4), "NA") )</f>
        <v>NA</v>
      </c>
      <c r="J47" t="str">
        <f>IF($F47= "bare", 0, IFERROR(INDEX(carbon!$A$14:$J$48,MATCH("*"&amp;data!$E47&amp;"*",carbon!$A$14:$A$48,0),6), "NA") )</f>
        <v>NA</v>
      </c>
      <c r="K47" t="str">
        <f>IF($F47= "bare", 0, IFERROR(INDEX(carbon!$A$14:$J$48,MATCH("*"&amp;data!$E47&amp;"*",carbon!$A$14:$A$48,0),8), "NA") )</f>
        <v>NA</v>
      </c>
    </row>
    <row r="48" spans="1:11" ht="15">
      <c r="A48" s="1" t="s">
        <v>62</v>
      </c>
      <c r="B48" s="1" t="s">
        <v>64</v>
      </c>
      <c r="C48" s="1" t="s">
        <v>68</v>
      </c>
      <c r="D48" s="2" t="s">
        <v>22</v>
      </c>
      <c r="E48" t="str">
        <f t="shared" si="0"/>
        <v>L_22_B</v>
      </c>
      <c r="F48" s="1" t="s">
        <v>78</v>
      </c>
      <c r="G48" s="3">
        <f>IFERROR(INDEX(biomass!$B$2:$C$61,MATCH(data!D48,biomass!$A$2:$A$61,0),MATCH(data!B48,biomass!$B$1:$C$1,0))*1000,"NA")</f>
        <v>512</v>
      </c>
      <c r="H48" t="str">
        <f>IF($F48= "bare", 0, IFERROR(INDEX(carbon!$A$14:$J$48,MATCH("*"&amp;data!$E48&amp;"*",carbon!$A$14:$A$48,0),2), "NA") )</f>
        <v>NA</v>
      </c>
      <c r="I48" t="str">
        <f>IF($F48= "bare", 0, IFERROR(INDEX(carbon!$A$14:$J$48,MATCH("*"&amp;data!$E48&amp;"*",carbon!$A$14:$A$48,0),4), "NA") )</f>
        <v>NA</v>
      </c>
      <c r="J48" t="str">
        <f>IF($F48= "bare", 0, IFERROR(INDEX(carbon!$A$14:$J$48,MATCH("*"&amp;data!$E48&amp;"*",carbon!$A$14:$A$48,0),6), "NA") )</f>
        <v>NA</v>
      </c>
      <c r="K48" t="str">
        <f>IF($F48= "bare", 0, IFERROR(INDEX(carbon!$A$14:$J$48,MATCH("*"&amp;data!$E48&amp;"*",carbon!$A$14:$A$48,0),8), "NA") )</f>
        <v>NA</v>
      </c>
    </row>
    <row r="49" spans="1:11" ht="15">
      <c r="A49" s="1" t="s">
        <v>62</v>
      </c>
      <c r="B49" s="1" t="s">
        <v>64</v>
      </c>
      <c r="C49" s="1" t="s">
        <v>68</v>
      </c>
      <c r="D49" s="2" t="s">
        <v>23</v>
      </c>
      <c r="E49" t="str">
        <f t="shared" si="0"/>
        <v>L_23_B</v>
      </c>
      <c r="F49" s="1" t="s">
        <v>78</v>
      </c>
      <c r="G49" s="3">
        <f>IFERROR(INDEX(biomass!$B$2:$C$61,MATCH(data!D49,biomass!$A$2:$A$61,0),MATCH(data!B49,biomass!$B$1:$C$1,0))*1000,"NA")</f>
        <v>547</v>
      </c>
      <c r="H49" t="str">
        <f>IF($F49= "bare", 0, IFERROR(INDEX(carbon!$A$14:$J$48,MATCH("*"&amp;data!$E49&amp;"*",carbon!$A$14:$A$48,0),2), "NA") )</f>
        <v>NA</v>
      </c>
      <c r="I49" t="str">
        <f>IF($F49= "bare", 0, IFERROR(INDEX(carbon!$A$14:$J$48,MATCH("*"&amp;data!$E49&amp;"*",carbon!$A$14:$A$48,0),4), "NA") )</f>
        <v>NA</v>
      </c>
      <c r="J49" t="str">
        <f>IF($F49= "bare", 0, IFERROR(INDEX(carbon!$A$14:$J$48,MATCH("*"&amp;data!$E49&amp;"*",carbon!$A$14:$A$48,0),6), "NA") )</f>
        <v>NA</v>
      </c>
      <c r="K49" t="str">
        <f>IF($F49= "bare", 0, IFERROR(INDEX(carbon!$A$14:$J$48,MATCH("*"&amp;data!$E49&amp;"*",carbon!$A$14:$A$48,0),8), "NA") )</f>
        <v>NA</v>
      </c>
    </row>
    <row r="50" spans="1:11" ht="15">
      <c r="A50" s="1" t="s">
        <v>62</v>
      </c>
      <c r="B50" s="1" t="s">
        <v>64</v>
      </c>
      <c r="C50" s="1" t="s">
        <v>68</v>
      </c>
      <c r="D50" s="2" t="s">
        <v>24</v>
      </c>
      <c r="E50" t="str">
        <f t="shared" si="0"/>
        <v>L_24_B</v>
      </c>
      <c r="F50" s="1" t="s">
        <v>78</v>
      </c>
      <c r="G50" s="3">
        <f>IFERROR(INDEX(biomass!$B$2:$C$61,MATCH(data!D50,biomass!$A$2:$A$61,0),MATCH(data!B50,biomass!$B$1:$C$1,0))*1000,"NA")</f>
        <v>326</v>
      </c>
      <c r="H50" t="str">
        <f>IF($F50= "bare", 0, IFERROR(INDEX(carbon!$A$14:$J$48,MATCH("*"&amp;data!$E50&amp;"*",carbon!$A$14:$A$48,0),2), "NA") )</f>
        <v>NA</v>
      </c>
      <c r="I50" t="str">
        <f>IF($F50= "bare", 0, IFERROR(INDEX(carbon!$A$14:$J$48,MATCH("*"&amp;data!$E50&amp;"*",carbon!$A$14:$A$48,0),4), "NA") )</f>
        <v>NA</v>
      </c>
      <c r="J50" t="str">
        <f>IF($F50= "bare", 0, IFERROR(INDEX(carbon!$A$14:$J$48,MATCH("*"&amp;data!$E50&amp;"*",carbon!$A$14:$A$48,0),6), "NA") )</f>
        <v>NA</v>
      </c>
      <c r="K50" t="str">
        <f>IF($F50= "bare", 0, IFERROR(INDEX(carbon!$A$14:$J$48,MATCH("*"&amp;data!$E50&amp;"*",carbon!$A$14:$A$48,0),8), "NA") )</f>
        <v>NA</v>
      </c>
    </row>
    <row r="51" spans="1:11" ht="15">
      <c r="A51" s="1" t="s">
        <v>62</v>
      </c>
      <c r="B51" s="1" t="s">
        <v>64</v>
      </c>
      <c r="C51" s="1" t="s">
        <v>68</v>
      </c>
      <c r="D51" s="2" t="s">
        <v>25</v>
      </c>
      <c r="E51" t="str">
        <f t="shared" si="0"/>
        <v>L_25_B</v>
      </c>
      <c r="F51" s="1" t="s">
        <v>78</v>
      </c>
      <c r="G51" s="3">
        <f>IFERROR(INDEX(biomass!$B$2:$C$61,MATCH(data!D51,biomass!$A$2:$A$61,0),MATCH(data!B51,biomass!$B$1:$C$1,0))*1000,"NA")</f>
        <v>229</v>
      </c>
      <c r="H51" t="str">
        <f>IF($F51= "bare", 0, IFERROR(INDEX(carbon!$A$14:$J$48,MATCH("*"&amp;data!$E51&amp;"*",carbon!$A$14:$A$48,0),2), "NA") )</f>
        <v>NA</v>
      </c>
      <c r="I51" t="str">
        <f>IF($F51= "bare", 0, IFERROR(INDEX(carbon!$A$14:$J$48,MATCH("*"&amp;data!$E51&amp;"*",carbon!$A$14:$A$48,0),4), "NA") )</f>
        <v>NA</v>
      </c>
      <c r="J51" t="str">
        <f>IF($F51= "bare", 0, IFERROR(INDEX(carbon!$A$14:$J$48,MATCH("*"&amp;data!$E51&amp;"*",carbon!$A$14:$A$48,0),6), "NA") )</f>
        <v>NA</v>
      </c>
      <c r="K51" t="str">
        <f>IF($F51= "bare", 0, IFERROR(INDEX(carbon!$A$14:$J$48,MATCH("*"&amp;data!$E51&amp;"*",carbon!$A$14:$A$48,0),8), "NA") )</f>
        <v>NA</v>
      </c>
    </row>
    <row r="52" spans="1:11" ht="15">
      <c r="A52" s="1" t="s">
        <v>62</v>
      </c>
      <c r="B52" s="1" t="s">
        <v>63</v>
      </c>
      <c r="C52" s="1" t="s">
        <v>69</v>
      </c>
      <c r="D52" s="2" t="s">
        <v>31</v>
      </c>
      <c r="E52" t="str">
        <f t="shared" si="0"/>
        <v>H_01_A</v>
      </c>
      <c r="F52" s="1" t="s">
        <v>78</v>
      </c>
      <c r="G52" s="3">
        <f>IFERROR(INDEX(biomass!$B$2:$C$61,MATCH(data!D52,biomass!$A$2:$A$61,0),MATCH(data!B52,biomass!$B$1:$C$1,0))*1000,"NA")</f>
        <v>1495</v>
      </c>
      <c r="H52">
        <f>IF($F52= "bare", 0, IFERROR(INDEX(carbon!$A$14:$J$48,MATCH("*"&amp;data!$E52&amp;"*",carbon!$A$14:$A$48,0),2), "NA") )</f>
        <v>75.040000000000006</v>
      </c>
      <c r="I52">
        <f>IF($F52= "bare", 0, IFERROR(INDEX(carbon!$A$14:$J$48,MATCH("*"&amp;data!$E52&amp;"*",carbon!$A$14:$A$48,0),4), "NA") )</f>
        <v>24.56</v>
      </c>
      <c r="J52">
        <f>IF($F52= "bare", 0, IFERROR(INDEX(carbon!$A$14:$J$48,MATCH("*"&amp;data!$E52&amp;"*",carbon!$A$14:$A$48,0),6), "NA") )</f>
        <v>211.41</v>
      </c>
      <c r="K52">
        <f>IF($F52= "bare", 0, IFERROR(INDEX(carbon!$A$14:$J$48,MATCH("*"&amp;data!$E52&amp;"*",carbon!$A$14:$A$48,0),8), "NA") )</f>
        <v>2.383</v>
      </c>
    </row>
    <row r="53" spans="1:11" ht="15">
      <c r="A53" s="1" t="s">
        <v>62</v>
      </c>
      <c r="B53" s="1" t="s">
        <v>63</v>
      </c>
      <c r="C53" s="1" t="s">
        <v>69</v>
      </c>
      <c r="D53" s="2" t="s">
        <v>32</v>
      </c>
      <c r="E53" t="str">
        <f t="shared" si="0"/>
        <v>H_02_A</v>
      </c>
      <c r="F53" s="1" t="s">
        <v>78</v>
      </c>
      <c r="G53" s="3">
        <f>IFERROR(INDEX(biomass!$B$2:$C$61,MATCH(data!D53,biomass!$A$2:$A$61,0),MATCH(data!B53,biomass!$B$1:$C$1,0))*1000,"NA")</f>
        <v>1657</v>
      </c>
      <c r="H53">
        <f>IF($F53= "bare", 0, IFERROR(INDEX(carbon!$A$14:$J$48,MATCH("*"&amp;data!$E53&amp;"*",carbon!$A$14:$A$48,0),2), "NA") )</f>
        <v>71.27</v>
      </c>
      <c r="I53">
        <f>IF($F53= "bare", 0, IFERROR(INDEX(carbon!$A$14:$J$48,MATCH("*"&amp;data!$E53&amp;"*",carbon!$A$14:$A$48,0),4), "NA") )</f>
        <v>22.7</v>
      </c>
      <c r="J53">
        <f>IF($F53= "bare", 0, IFERROR(INDEX(carbon!$A$14:$J$48,MATCH("*"&amp;data!$E53&amp;"*",carbon!$A$14:$A$48,0),6), "NA") )</f>
        <v>202.84</v>
      </c>
      <c r="K53">
        <f>IF($F53= "bare", 0, IFERROR(INDEX(carbon!$A$14:$J$48,MATCH("*"&amp;data!$E53&amp;"*",carbon!$A$14:$A$48,0),8), "NA") )</f>
        <v>0.92130000000000001</v>
      </c>
    </row>
    <row r="54" spans="1:11" ht="15">
      <c r="A54" s="1" t="s">
        <v>62</v>
      </c>
      <c r="B54" s="1" t="s">
        <v>63</v>
      </c>
      <c r="C54" s="1" t="s">
        <v>69</v>
      </c>
      <c r="D54" s="2" t="s">
        <v>33</v>
      </c>
      <c r="E54" t="str">
        <f t="shared" si="0"/>
        <v>H_03_A</v>
      </c>
      <c r="F54" s="1" t="s">
        <v>78</v>
      </c>
      <c r="G54" s="3">
        <f>IFERROR(INDEX(biomass!$B$2:$C$61,MATCH(data!D54,biomass!$A$2:$A$61,0),MATCH(data!B54,biomass!$B$1:$C$1,0))*1000,"NA")</f>
        <v>1846.4</v>
      </c>
      <c r="H54" t="str">
        <f>IF($F54= "bare", 0, IFERROR(INDEX(carbon!$A$14:$J$48,MATCH("*"&amp;data!$E54&amp;"*",carbon!$A$14:$A$48,0),2), "NA") )</f>
        <v>NA</v>
      </c>
      <c r="I54" t="str">
        <f>IF($F54= "bare", 0, IFERROR(INDEX(carbon!$A$14:$J$48,MATCH("*"&amp;data!$E54&amp;"*",carbon!$A$14:$A$48,0),4), "NA") )</f>
        <v>NA</v>
      </c>
      <c r="J54" t="str">
        <f>IF($F54= "bare", 0, IFERROR(INDEX(carbon!$A$14:$J$48,MATCH("*"&amp;data!$E54&amp;"*",carbon!$A$14:$A$48,0),6), "NA") )</f>
        <v>NA</v>
      </c>
      <c r="K54" t="str">
        <f>IF($F54= "bare", 0, IFERROR(INDEX(carbon!$A$14:$J$48,MATCH("*"&amp;data!$E54&amp;"*",carbon!$A$14:$A$48,0),8), "NA") )</f>
        <v>NA</v>
      </c>
    </row>
    <row r="55" spans="1:11" ht="15">
      <c r="A55" s="1" t="s">
        <v>62</v>
      </c>
      <c r="B55" s="1" t="s">
        <v>63</v>
      </c>
      <c r="C55" s="1" t="s">
        <v>69</v>
      </c>
      <c r="D55" s="2" t="s">
        <v>34</v>
      </c>
      <c r="E55" t="str">
        <f t="shared" si="0"/>
        <v>H_04_A</v>
      </c>
      <c r="F55" s="1" t="s">
        <v>78</v>
      </c>
      <c r="G55" s="3">
        <f>IFERROR(INDEX(biomass!$B$2:$C$61,MATCH(data!D55,biomass!$A$2:$A$61,0),MATCH(data!B55,biomass!$B$1:$C$1,0))*1000,"NA")</f>
        <v>151</v>
      </c>
      <c r="H55">
        <f>IF($F55= "bare", 0, IFERROR(INDEX(carbon!$A$14:$J$48,MATCH("*"&amp;data!$E55&amp;"*",carbon!$A$14:$A$48,0),2), "NA") )</f>
        <v>73.64</v>
      </c>
      <c r="I55">
        <f>IF($F55= "bare", 0, IFERROR(INDEX(carbon!$A$14:$J$48,MATCH("*"&amp;data!$E55&amp;"*",carbon!$A$14:$A$48,0),4), "NA") )</f>
        <v>21.93</v>
      </c>
      <c r="J55">
        <f>IF($F55= "bare", 0, IFERROR(INDEX(carbon!$A$14:$J$48,MATCH("*"&amp;data!$E55&amp;"*",carbon!$A$14:$A$48,0),6), "NA") )</f>
        <v>147.38999999999999</v>
      </c>
      <c r="K55">
        <f>IF($F55= "bare", 0, IFERROR(INDEX(carbon!$A$14:$J$48,MATCH("*"&amp;data!$E55&amp;"*",carbon!$A$14:$A$48,0),8), "NA") )</f>
        <v>1.2350000000000001</v>
      </c>
    </row>
    <row r="56" spans="1:11" ht="15">
      <c r="A56" s="1" t="s">
        <v>62</v>
      </c>
      <c r="B56" s="1" t="s">
        <v>63</v>
      </c>
      <c r="C56" s="1" t="s">
        <v>69</v>
      </c>
      <c r="D56" s="2" t="s">
        <v>35</v>
      </c>
      <c r="E56" t="str">
        <f t="shared" si="0"/>
        <v>H_05_A</v>
      </c>
      <c r="F56" s="1" t="s">
        <v>78</v>
      </c>
      <c r="G56" s="3">
        <f>IFERROR(INDEX(biomass!$B$2:$C$61,MATCH(data!D56,biomass!$A$2:$A$61,0),MATCH(data!B56,biomass!$B$1:$C$1,0))*1000,"NA")</f>
        <v>916</v>
      </c>
      <c r="H56" t="str">
        <f>IF($F56= "bare", 0, IFERROR(INDEX(carbon!$A$14:$J$48,MATCH("*"&amp;data!$E56&amp;"*",carbon!$A$14:$A$48,0),2), "NA") )</f>
        <v>NA</v>
      </c>
      <c r="I56" t="str">
        <f>IF($F56= "bare", 0, IFERROR(INDEX(carbon!$A$14:$J$48,MATCH("*"&amp;data!$E56&amp;"*",carbon!$A$14:$A$48,0),4), "NA") )</f>
        <v>NA</v>
      </c>
      <c r="J56" t="str">
        <f>IF($F56= "bare", 0, IFERROR(INDEX(carbon!$A$14:$J$48,MATCH("*"&amp;data!$E56&amp;"*",carbon!$A$14:$A$48,0),6), "NA") )</f>
        <v>NA</v>
      </c>
      <c r="K56" t="str">
        <f>IF($F56= "bare", 0, IFERROR(INDEX(carbon!$A$14:$J$48,MATCH("*"&amp;data!$E56&amp;"*",carbon!$A$14:$A$48,0),8), "NA") )</f>
        <v>NA</v>
      </c>
    </row>
    <row r="57" spans="1:11" ht="15">
      <c r="A57" s="1" t="s">
        <v>62</v>
      </c>
      <c r="B57" s="1" t="s">
        <v>63</v>
      </c>
      <c r="C57" s="1" t="s">
        <v>69</v>
      </c>
      <c r="D57" s="2" t="s">
        <v>36</v>
      </c>
      <c r="E57" t="str">
        <f t="shared" si="0"/>
        <v>H_06_A</v>
      </c>
      <c r="F57" s="1" t="s">
        <v>78</v>
      </c>
      <c r="G57" s="3">
        <f>IFERROR(INDEX(biomass!$B$2:$C$61,MATCH(data!D57,biomass!$A$2:$A$61,0),MATCH(data!B57,biomass!$B$1:$C$1,0))*1000,"NA")</f>
        <v>1447</v>
      </c>
      <c r="H57">
        <f>IF($F57= "bare", 0, IFERROR(INDEX(carbon!$A$14:$J$48,MATCH("*"&amp;data!$E57&amp;"*",carbon!$A$14:$A$48,0),2), "NA") )</f>
        <v>70.31</v>
      </c>
      <c r="I57">
        <f>IF($F57= "bare", 0, IFERROR(INDEX(carbon!$A$14:$J$48,MATCH("*"&amp;data!$E57&amp;"*",carbon!$A$14:$A$48,0),4), "NA") )</f>
        <v>23.55</v>
      </c>
      <c r="J57">
        <f>IF($F57= "bare", 0, IFERROR(INDEX(carbon!$A$14:$J$48,MATCH("*"&amp;data!$E57&amp;"*",carbon!$A$14:$A$48,0),6), "NA") )</f>
        <v>210.02</v>
      </c>
      <c r="K57">
        <f>IF($F57= "bare", 0, IFERROR(INDEX(carbon!$A$14:$J$48,MATCH("*"&amp;data!$E57&amp;"*",carbon!$A$14:$A$48,0),8), "NA") )</f>
        <v>1.6659999999999999</v>
      </c>
    </row>
    <row r="58" spans="1:11" ht="15">
      <c r="A58" s="1" t="s">
        <v>62</v>
      </c>
      <c r="B58" s="1" t="s">
        <v>63</v>
      </c>
      <c r="C58" s="1" t="s">
        <v>69</v>
      </c>
      <c r="D58" s="2" t="s">
        <v>37</v>
      </c>
      <c r="E58" t="str">
        <f t="shared" si="0"/>
        <v>H_07_A</v>
      </c>
      <c r="F58" s="1" t="s">
        <v>78</v>
      </c>
      <c r="G58" s="3">
        <f>IFERROR(INDEX(biomass!$B$2:$C$61,MATCH(data!D58,biomass!$A$2:$A$61,0),MATCH(data!B58,biomass!$B$1:$C$1,0))*1000,"NA")</f>
        <v>1287</v>
      </c>
      <c r="H58" t="str">
        <f>IF($F58= "bare", 0, IFERROR(INDEX(carbon!$A$14:$J$48,MATCH("*"&amp;data!$E58&amp;"*",carbon!$A$14:$A$48,0),2), "NA") )</f>
        <v>NA</v>
      </c>
      <c r="I58" t="str">
        <f>IF($F58= "bare", 0, IFERROR(INDEX(carbon!$A$14:$J$48,MATCH("*"&amp;data!$E58&amp;"*",carbon!$A$14:$A$48,0),4), "NA") )</f>
        <v>NA</v>
      </c>
      <c r="J58" t="str">
        <f>IF($F58= "bare", 0, IFERROR(INDEX(carbon!$A$14:$J$48,MATCH("*"&amp;data!$E58&amp;"*",carbon!$A$14:$A$48,0),6), "NA") )</f>
        <v>NA</v>
      </c>
      <c r="K58" t="str">
        <f>IF($F58= "bare", 0, IFERROR(INDEX(carbon!$A$14:$J$48,MATCH("*"&amp;data!$E58&amp;"*",carbon!$A$14:$A$48,0),8), "NA") )</f>
        <v>NA</v>
      </c>
    </row>
    <row r="59" spans="1:11" ht="15">
      <c r="A59" s="1" t="s">
        <v>62</v>
      </c>
      <c r="B59" s="1" t="s">
        <v>63</v>
      </c>
      <c r="C59" s="1" t="s">
        <v>69</v>
      </c>
      <c r="D59" s="2" t="s">
        <v>38</v>
      </c>
      <c r="E59" t="str">
        <f t="shared" si="0"/>
        <v>H_08_A</v>
      </c>
      <c r="F59" s="1" t="s">
        <v>78</v>
      </c>
      <c r="G59" s="3">
        <f>IFERROR(INDEX(biomass!$B$2:$C$61,MATCH(data!D59,biomass!$A$2:$A$61,0),MATCH(data!B59,biomass!$B$1:$C$1,0))*1000,"NA")</f>
        <v>1440</v>
      </c>
      <c r="H59">
        <f>IF($F59= "bare", 0, IFERROR(INDEX(carbon!$A$14:$J$48,MATCH("*"&amp;data!$E59&amp;"*",carbon!$A$14:$A$48,0),2), "NA") )</f>
        <v>75.47</v>
      </c>
      <c r="I59">
        <f>IF($F59= "bare", 0, IFERROR(INDEX(carbon!$A$14:$J$48,MATCH("*"&amp;data!$E59&amp;"*",carbon!$A$14:$A$48,0),4), "NA") )</f>
        <v>24.14</v>
      </c>
      <c r="J59">
        <f>IF($F59= "bare", 0, IFERROR(INDEX(carbon!$A$14:$J$48,MATCH("*"&amp;data!$E59&amp;"*",carbon!$A$14:$A$48,0),6), "NA") )</f>
        <v>205.63</v>
      </c>
      <c r="K59">
        <f>IF($F59= "bare", 0, IFERROR(INDEX(carbon!$A$14:$J$48,MATCH("*"&amp;data!$E59&amp;"*",carbon!$A$14:$A$48,0),8), "NA") )</f>
        <v>1.56</v>
      </c>
    </row>
    <row r="60" spans="1:11" ht="15">
      <c r="A60" s="1" t="s">
        <v>62</v>
      </c>
      <c r="B60" s="1" t="s">
        <v>63</v>
      </c>
      <c r="C60" s="1" t="s">
        <v>69</v>
      </c>
      <c r="D60" s="2" t="s">
        <v>39</v>
      </c>
      <c r="E60" t="str">
        <f t="shared" si="0"/>
        <v>H_09_A</v>
      </c>
      <c r="F60" s="1" t="s">
        <v>78</v>
      </c>
      <c r="G60" s="3">
        <f>IFERROR(INDEX(biomass!$B$2:$C$61,MATCH(data!D60,biomass!$A$2:$A$61,0),MATCH(data!B60,biomass!$B$1:$C$1,0))*1000,"NA")</f>
        <v>1766</v>
      </c>
      <c r="H60" t="str">
        <f>IF($F60= "bare", 0, IFERROR(INDEX(carbon!$A$14:$J$48,MATCH("*"&amp;data!$E60&amp;"*",carbon!$A$14:$A$48,0),2), "NA") )</f>
        <v>NA</v>
      </c>
      <c r="I60" t="str">
        <f>IF($F60= "bare", 0, IFERROR(INDEX(carbon!$A$14:$J$48,MATCH("*"&amp;data!$E60&amp;"*",carbon!$A$14:$A$48,0),4), "NA") )</f>
        <v>NA</v>
      </c>
      <c r="J60" t="str">
        <f>IF($F60= "bare", 0, IFERROR(INDEX(carbon!$A$14:$J$48,MATCH("*"&amp;data!$E60&amp;"*",carbon!$A$14:$A$48,0),6), "NA") )</f>
        <v>NA</v>
      </c>
      <c r="K60" t="str">
        <f>IF($F60= "bare", 0, IFERROR(INDEX(carbon!$A$14:$J$48,MATCH("*"&amp;data!$E60&amp;"*",carbon!$A$14:$A$48,0),8), "NA") )</f>
        <v>NA</v>
      </c>
    </row>
    <row r="61" spans="1:11" ht="15">
      <c r="A61" s="1" t="s">
        <v>62</v>
      </c>
      <c r="B61" s="1" t="s">
        <v>63</v>
      </c>
      <c r="C61" s="1" t="s">
        <v>69</v>
      </c>
      <c r="D61" s="2" t="s">
        <v>40</v>
      </c>
      <c r="E61" t="str">
        <f t="shared" si="0"/>
        <v>H_10_A</v>
      </c>
      <c r="F61" s="1" t="s">
        <v>78</v>
      </c>
      <c r="G61" s="3">
        <f>IFERROR(INDEX(biomass!$B$2:$C$61,MATCH(data!D61,biomass!$A$2:$A$61,0),MATCH(data!B61,biomass!$B$1:$C$1,0))*1000,"NA")</f>
        <v>641</v>
      </c>
      <c r="H61">
        <f>IF($F61= "bare", 0, IFERROR(INDEX(carbon!$A$14:$J$48,MATCH("*"&amp;data!$E61&amp;"*",carbon!$A$14:$A$48,0),2), "NA") )</f>
        <v>71.94</v>
      </c>
      <c r="I61">
        <f>IF($F61= "bare", 0, IFERROR(INDEX(carbon!$A$14:$J$48,MATCH("*"&amp;data!$E61&amp;"*",carbon!$A$14:$A$48,0),4), "NA") )</f>
        <v>22.09</v>
      </c>
      <c r="J61">
        <f>IF($F61= "bare", 0, IFERROR(INDEX(carbon!$A$14:$J$48,MATCH("*"&amp;data!$E61&amp;"*",carbon!$A$14:$A$48,0),6), "NA") )</f>
        <v>223.67</v>
      </c>
      <c r="K61">
        <f>IF($F61= "bare", 0, IFERROR(INDEX(carbon!$A$14:$J$48,MATCH("*"&amp;data!$E61&amp;"*",carbon!$A$14:$A$48,0),8), "NA") )</f>
        <v>2.2429999999999999</v>
      </c>
    </row>
    <row r="62" spans="1:11" ht="15">
      <c r="A62" s="1" t="s">
        <v>62</v>
      </c>
      <c r="B62" s="1" t="s">
        <v>63</v>
      </c>
      <c r="C62" s="1" t="s">
        <v>69</v>
      </c>
      <c r="D62" s="2" t="s">
        <v>41</v>
      </c>
      <c r="E62" t="str">
        <f t="shared" si="0"/>
        <v>H_11_A</v>
      </c>
      <c r="F62" s="1" t="s">
        <v>78</v>
      </c>
      <c r="G62" s="3">
        <f>IFERROR(INDEX(biomass!$B$2:$C$61,MATCH(data!D62,biomass!$A$2:$A$61,0),MATCH(data!B62,biomass!$B$1:$C$1,0))*1000,"NA")</f>
        <v>803</v>
      </c>
      <c r="H62">
        <f>IF($F62= "bare", 0, IFERROR(INDEX(carbon!$A$14:$J$48,MATCH("*"&amp;data!$E62&amp;"*",carbon!$A$14:$A$48,0),2), "NA") )</f>
        <v>74.989999999999995</v>
      </c>
      <c r="I62">
        <f>IF($F62= "bare", 0, IFERROR(INDEX(carbon!$A$14:$J$48,MATCH("*"&amp;data!$E62&amp;"*",carbon!$A$14:$A$48,0),4), "NA") )</f>
        <v>23.34</v>
      </c>
      <c r="J62">
        <f>IF($F62= "bare", 0, IFERROR(INDEX(carbon!$A$14:$J$48,MATCH("*"&amp;data!$E62&amp;"*",carbon!$A$14:$A$48,0),6), "NA") )</f>
        <v>200.48</v>
      </c>
      <c r="K62">
        <f>IF($F62= "bare", 0, IFERROR(INDEX(carbon!$A$14:$J$48,MATCH("*"&amp;data!$E62&amp;"*",carbon!$A$14:$A$48,0),8), "NA") )</f>
        <v>0.97789999999999999</v>
      </c>
    </row>
    <row r="63" spans="1:11" ht="15">
      <c r="A63" s="1" t="s">
        <v>62</v>
      </c>
      <c r="B63" s="1" t="s">
        <v>63</v>
      </c>
      <c r="C63" s="1" t="s">
        <v>69</v>
      </c>
      <c r="D63" s="2" t="s">
        <v>42</v>
      </c>
      <c r="E63" t="str">
        <f t="shared" si="0"/>
        <v>H_12_A</v>
      </c>
      <c r="F63" s="1" t="s">
        <v>78</v>
      </c>
      <c r="G63" s="3">
        <f>IFERROR(INDEX(biomass!$B$2:$C$61,MATCH(data!D63,biomass!$A$2:$A$61,0),MATCH(data!B63,biomass!$B$1:$C$1,0))*1000,"NA")</f>
        <v>863</v>
      </c>
      <c r="H63">
        <f>IF($F63= "bare", 0, IFERROR(INDEX(carbon!$A$14:$J$48,MATCH("*"&amp;data!$E63&amp;"*",carbon!$A$14:$A$48,0),2), "NA") )</f>
        <v>79.02</v>
      </c>
      <c r="I63">
        <f>IF($F63= "bare", 0, IFERROR(INDEX(carbon!$A$14:$J$48,MATCH("*"&amp;data!$E63&amp;"*",carbon!$A$14:$A$48,0),4), "NA") )</f>
        <v>24.62</v>
      </c>
      <c r="J63">
        <f>IF($F63= "bare", 0, IFERROR(INDEX(carbon!$A$14:$J$48,MATCH("*"&amp;data!$E63&amp;"*",carbon!$A$14:$A$48,0),6), "NA") )</f>
        <v>205.94</v>
      </c>
      <c r="K63">
        <f>IF($F63= "bare", 0, IFERROR(INDEX(carbon!$A$14:$J$48,MATCH("*"&amp;data!$E63&amp;"*",carbon!$A$14:$A$48,0),8), "NA") )</f>
        <v>1.3120000000000001</v>
      </c>
    </row>
    <row r="64" spans="1:11" ht="15">
      <c r="A64" s="1" t="s">
        <v>62</v>
      </c>
      <c r="B64" s="1" t="s">
        <v>63</v>
      </c>
      <c r="C64" s="1" t="s">
        <v>69</v>
      </c>
      <c r="D64" s="2" t="s">
        <v>43</v>
      </c>
      <c r="E64" t="str">
        <f t="shared" si="0"/>
        <v>H_13_A</v>
      </c>
      <c r="F64" s="1" t="s">
        <v>78</v>
      </c>
      <c r="G64" s="3">
        <f>IFERROR(INDEX(biomass!$B$2:$C$61,MATCH(data!D64,biomass!$A$2:$A$61,0),MATCH(data!B64,biomass!$B$1:$C$1,0))*1000,"NA")</f>
        <v>1385</v>
      </c>
      <c r="H64">
        <f>IF($F64= "bare", 0, IFERROR(INDEX(carbon!$A$14:$J$48,MATCH("*"&amp;data!$E64&amp;"*",carbon!$A$14:$A$48,0),2), "NA") )</f>
        <v>70.89</v>
      </c>
      <c r="I64">
        <f>IF($F64= "bare", 0, IFERROR(INDEX(carbon!$A$14:$J$48,MATCH("*"&amp;data!$E64&amp;"*",carbon!$A$14:$A$48,0),4), "NA") )</f>
        <v>22.12</v>
      </c>
      <c r="J64">
        <f>IF($F64= "bare", 0, IFERROR(INDEX(carbon!$A$14:$J$48,MATCH("*"&amp;data!$E64&amp;"*",carbon!$A$14:$A$48,0),6), "NA") )</f>
        <v>203.93</v>
      </c>
      <c r="K64">
        <f>IF($F64= "bare", 0, IFERROR(INDEX(carbon!$A$14:$J$48,MATCH("*"&amp;data!$E64&amp;"*",carbon!$A$14:$A$48,0),8), "NA") )</f>
        <v>1.819</v>
      </c>
    </row>
    <row r="65" spans="1:11" ht="15">
      <c r="A65" s="1" t="s">
        <v>62</v>
      </c>
      <c r="B65" s="1" t="s">
        <v>63</v>
      </c>
      <c r="C65" s="1" t="s">
        <v>69</v>
      </c>
      <c r="D65" s="2" t="s">
        <v>44</v>
      </c>
      <c r="E65" t="str">
        <f t="shared" si="0"/>
        <v>H_14_A</v>
      </c>
      <c r="F65" s="1" t="s">
        <v>78</v>
      </c>
      <c r="G65" s="3">
        <f>IFERROR(INDEX(biomass!$B$2:$C$61,MATCH(data!D65,biomass!$A$2:$A$61,0),MATCH(data!B65,biomass!$B$1:$C$1,0))*1000,"NA")</f>
        <v>1841</v>
      </c>
      <c r="H65" t="str">
        <f>IF($F65= "bare", 0, IFERROR(INDEX(carbon!$A$14:$J$48,MATCH("*"&amp;data!$E65&amp;"*",carbon!$A$14:$A$48,0),2), "NA") )</f>
        <v>NA</v>
      </c>
      <c r="I65" t="str">
        <f>IF($F65= "bare", 0, IFERROR(INDEX(carbon!$A$14:$J$48,MATCH("*"&amp;data!$E65&amp;"*",carbon!$A$14:$A$48,0),4), "NA") )</f>
        <v>NA</v>
      </c>
      <c r="J65" t="str">
        <f>IF($F65= "bare", 0, IFERROR(INDEX(carbon!$A$14:$J$48,MATCH("*"&amp;data!$E65&amp;"*",carbon!$A$14:$A$48,0),6), "NA") )</f>
        <v>NA</v>
      </c>
      <c r="K65" t="str">
        <f>IF($F65= "bare", 0, IFERROR(INDEX(carbon!$A$14:$J$48,MATCH("*"&amp;data!$E65&amp;"*",carbon!$A$14:$A$48,0),8), "NA") )</f>
        <v>NA</v>
      </c>
    </row>
    <row r="66" spans="1:11" ht="15">
      <c r="A66" s="1" t="s">
        <v>62</v>
      </c>
      <c r="B66" s="1" t="s">
        <v>63</v>
      </c>
      <c r="C66" s="1" t="s">
        <v>69</v>
      </c>
      <c r="D66" s="2" t="s">
        <v>45</v>
      </c>
      <c r="E66" t="str">
        <f t="shared" si="0"/>
        <v>H_15_A</v>
      </c>
      <c r="F66" s="1" t="s">
        <v>78</v>
      </c>
      <c r="G66" s="3">
        <f>IFERROR(INDEX(biomass!$B$2:$C$61,MATCH(data!D66,biomass!$A$2:$A$61,0),MATCH(data!B66,biomass!$B$1:$C$1,0))*1000,"NA")</f>
        <v>418</v>
      </c>
      <c r="H66">
        <f>IF($F66= "bare", 0, IFERROR(INDEX(carbon!$A$14:$J$48,MATCH("*"&amp;data!$E66&amp;"*",carbon!$A$14:$A$48,0),2), "NA") )</f>
        <v>73.64</v>
      </c>
      <c r="I66">
        <f>IF($F66= "bare", 0, IFERROR(INDEX(carbon!$A$14:$J$48,MATCH("*"&amp;data!$E66&amp;"*",carbon!$A$14:$A$48,0),4), "NA") )</f>
        <v>21.93</v>
      </c>
      <c r="J66">
        <f>IF($F66= "bare", 0, IFERROR(INDEX(carbon!$A$14:$J$48,MATCH("*"&amp;data!$E66&amp;"*",carbon!$A$14:$A$48,0),6), "NA") )</f>
        <v>147.38999999999999</v>
      </c>
      <c r="K66">
        <f>IF($F66= "bare", 0, IFERROR(INDEX(carbon!$A$14:$J$48,MATCH("*"&amp;data!$E66&amp;"*",carbon!$A$14:$A$48,0),8), "NA") )</f>
        <v>1.2350000000000001</v>
      </c>
    </row>
    <row r="67" spans="1:11" ht="15">
      <c r="A67" s="1" t="s">
        <v>62</v>
      </c>
      <c r="B67" s="1" t="s">
        <v>63</v>
      </c>
      <c r="C67" s="1" t="s">
        <v>69</v>
      </c>
      <c r="D67" s="2" t="s">
        <v>46</v>
      </c>
      <c r="E67" t="str">
        <f t="shared" ref="E67:E111" si="1">CONCATENATE(D67, "_", IF(B67 = "Leaves", "A", IF(B67 = "Roots", "B", "NA")))</f>
        <v>H_16_A</v>
      </c>
      <c r="F67" s="1" t="s">
        <v>78</v>
      </c>
      <c r="G67" s="3">
        <f>IFERROR(INDEX(biomass!$B$2:$C$61,MATCH(data!D67,biomass!$A$2:$A$61,0),MATCH(data!B67,biomass!$B$1:$C$1,0))*1000,"NA")</f>
        <v>1365</v>
      </c>
      <c r="H67">
        <f>IF($F67= "bare", 0, IFERROR(INDEX(carbon!$A$14:$J$48,MATCH("*"&amp;data!$E67&amp;"*",carbon!$A$14:$A$48,0),2), "NA") )</f>
        <v>73.03</v>
      </c>
      <c r="I67">
        <f>IF($F67= "bare", 0, IFERROR(INDEX(carbon!$A$14:$J$48,MATCH("*"&amp;data!$E67&amp;"*",carbon!$A$14:$A$48,0),4), "NA") )</f>
        <v>24.03</v>
      </c>
      <c r="J67">
        <f>IF($F67= "bare", 0, IFERROR(INDEX(carbon!$A$14:$J$48,MATCH("*"&amp;data!$E67&amp;"*",carbon!$A$14:$A$48,0),6), "NA") )</f>
        <v>202.64</v>
      </c>
      <c r="K67">
        <f>IF($F67= "bare", 0, IFERROR(INDEX(carbon!$A$14:$J$48,MATCH("*"&amp;data!$E67&amp;"*",carbon!$A$14:$A$48,0),8), "NA") )</f>
        <v>1.196</v>
      </c>
    </row>
    <row r="68" spans="1:11" ht="15">
      <c r="A68" s="1" t="s">
        <v>62</v>
      </c>
      <c r="B68" s="1" t="s">
        <v>63</v>
      </c>
      <c r="C68" s="1" t="s">
        <v>69</v>
      </c>
      <c r="D68" s="2" t="s">
        <v>47</v>
      </c>
      <c r="E68" t="str">
        <f t="shared" si="1"/>
        <v>H_17_A</v>
      </c>
      <c r="F68" s="1" t="s">
        <v>78</v>
      </c>
      <c r="G68" s="3">
        <f>IFERROR(INDEX(biomass!$B$2:$C$61,MATCH(data!D68,biomass!$A$2:$A$61,0),MATCH(data!B68,biomass!$B$1:$C$1,0))*1000,"NA")</f>
        <v>1379</v>
      </c>
      <c r="H68">
        <f>IF($F68= "bare", 0, IFERROR(INDEX(carbon!$A$14:$J$48,MATCH("*"&amp;data!$E68&amp;"*",carbon!$A$14:$A$48,0),2), "NA") )</f>
        <v>72.78</v>
      </c>
      <c r="I68">
        <f>IF($F68= "bare", 0, IFERROR(INDEX(carbon!$A$14:$J$48,MATCH("*"&amp;data!$E68&amp;"*",carbon!$A$14:$A$48,0),4), "NA") )</f>
        <v>23.33</v>
      </c>
      <c r="J68">
        <f>IF($F68= "bare", 0, IFERROR(INDEX(carbon!$A$14:$J$48,MATCH("*"&amp;data!$E68&amp;"*",carbon!$A$14:$A$48,0),6), "NA") )</f>
        <v>207.4</v>
      </c>
      <c r="K68">
        <f>IF($F68= "bare", 0, IFERROR(INDEX(carbon!$A$14:$J$48,MATCH("*"&amp;data!$E68&amp;"*",carbon!$A$14:$A$48,0),8), "NA") )</f>
        <v>0.88680000000000003</v>
      </c>
    </row>
    <row r="69" spans="1:11" ht="15">
      <c r="A69" s="1" t="s">
        <v>62</v>
      </c>
      <c r="B69" s="1" t="s">
        <v>63</v>
      </c>
      <c r="C69" s="1" t="s">
        <v>69</v>
      </c>
      <c r="D69" s="2" t="s">
        <v>48</v>
      </c>
      <c r="E69" t="str">
        <f t="shared" si="1"/>
        <v>H_18_A</v>
      </c>
      <c r="F69" s="1" t="s">
        <v>78</v>
      </c>
      <c r="G69" s="3">
        <f>IFERROR(INDEX(biomass!$B$2:$C$61,MATCH(data!D69,biomass!$A$2:$A$61,0),MATCH(data!B69,biomass!$B$1:$C$1,0))*1000,"NA")</f>
        <v>605</v>
      </c>
      <c r="H69">
        <f>IF($F69= "bare", 0, IFERROR(INDEX(carbon!$A$14:$J$48,MATCH("*"&amp;data!$E69&amp;"*",carbon!$A$14:$A$48,0),2), "NA") )</f>
        <v>70.510000000000005</v>
      </c>
      <c r="I69">
        <f>IF($F69= "bare", 0, IFERROR(INDEX(carbon!$A$14:$J$48,MATCH("*"&amp;data!$E69&amp;"*",carbon!$A$14:$A$48,0),4), "NA") )</f>
        <v>22.8</v>
      </c>
      <c r="J69">
        <f>IF($F69= "bare", 0, IFERROR(INDEX(carbon!$A$14:$J$48,MATCH("*"&amp;data!$E69&amp;"*",carbon!$A$14:$A$48,0),6), "NA") )</f>
        <v>168.07</v>
      </c>
      <c r="K69">
        <f>IF($F69= "bare", 0, IFERROR(INDEX(carbon!$A$14:$J$48,MATCH("*"&amp;data!$E69&amp;"*",carbon!$A$14:$A$48,0),8), "NA") )</f>
        <v>1.218</v>
      </c>
    </row>
    <row r="70" spans="1:11" ht="15">
      <c r="A70" s="1" t="s">
        <v>62</v>
      </c>
      <c r="B70" s="1" t="s">
        <v>63</v>
      </c>
      <c r="C70" s="1" t="s">
        <v>69</v>
      </c>
      <c r="D70" s="2" t="s">
        <v>49</v>
      </c>
      <c r="E70" t="str">
        <f t="shared" si="1"/>
        <v>H_19_A</v>
      </c>
      <c r="F70" s="1" t="s">
        <v>78</v>
      </c>
      <c r="G70" s="3">
        <f>IFERROR(INDEX(biomass!$B$2:$C$61,MATCH(data!D70,biomass!$A$2:$A$61,0),MATCH(data!B70,biomass!$B$1:$C$1,0))*1000,"NA")</f>
        <v>640</v>
      </c>
      <c r="H70">
        <f>IF($F70= "bare", 0, IFERROR(INDEX(carbon!$A$14:$J$48,MATCH("*"&amp;data!$E70&amp;"*",carbon!$A$14:$A$48,0),2), "NA") )</f>
        <v>72.75</v>
      </c>
      <c r="I70">
        <f>IF($F70= "bare", 0, IFERROR(INDEX(carbon!$A$14:$J$48,MATCH("*"&amp;data!$E70&amp;"*",carbon!$A$14:$A$48,0),4), "NA") )</f>
        <v>25.56</v>
      </c>
      <c r="J70">
        <f>IF($F70= "bare", 0, IFERROR(INDEX(carbon!$A$14:$J$48,MATCH("*"&amp;data!$E70&amp;"*",carbon!$A$14:$A$48,0),6), "NA") )</f>
        <v>201.84</v>
      </c>
      <c r="K70">
        <f>IF($F70= "bare", 0, IFERROR(INDEX(carbon!$A$14:$J$48,MATCH("*"&amp;data!$E70&amp;"*",carbon!$A$14:$A$48,0),8), "NA") )</f>
        <v>2.1659999999999999</v>
      </c>
    </row>
    <row r="71" spans="1:11" ht="15">
      <c r="A71" s="1" t="s">
        <v>62</v>
      </c>
      <c r="B71" s="1" t="s">
        <v>63</v>
      </c>
      <c r="C71" s="1" t="s">
        <v>69</v>
      </c>
      <c r="D71" s="2" t="s">
        <v>50</v>
      </c>
      <c r="E71" t="str">
        <f t="shared" si="1"/>
        <v>H_20_A</v>
      </c>
      <c r="F71" s="1" t="s">
        <v>78</v>
      </c>
      <c r="G71" s="3">
        <f>IFERROR(INDEX(biomass!$B$2:$C$61,MATCH(data!D71,biomass!$A$2:$A$61,0),MATCH(data!B71,biomass!$B$1:$C$1,0))*1000,"NA")</f>
        <v>2314</v>
      </c>
      <c r="H71" t="str">
        <f>IF($F71= "bare", 0, IFERROR(INDEX(carbon!$A$14:$J$48,MATCH("*"&amp;data!$E71&amp;"*",carbon!$A$14:$A$48,0),2), "NA") )</f>
        <v>NA</v>
      </c>
      <c r="I71" t="str">
        <f>IF($F71= "bare", 0, IFERROR(INDEX(carbon!$A$14:$J$48,MATCH("*"&amp;data!$E71&amp;"*",carbon!$A$14:$A$48,0),4), "NA") )</f>
        <v>NA</v>
      </c>
      <c r="J71" t="str">
        <f>IF($F71= "bare", 0, IFERROR(INDEX(carbon!$A$14:$J$48,MATCH("*"&amp;data!$E71&amp;"*",carbon!$A$14:$A$48,0),6), "NA") )</f>
        <v>NA</v>
      </c>
      <c r="K71" t="str">
        <f>IF($F71= "bare", 0, IFERROR(INDEX(carbon!$A$14:$J$48,MATCH("*"&amp;data!$E71&amp;"*",carbon!$A$14:$A$48,0),8), "NA") )</f>
        <v>NA</v>
      </c>
    </row>
    <row r="72" spans="1:11" ht="15">
      <c r="A72" s="1" t="s">
        <v>62</v>
      </c>
      <c r="B72" s="1" t="s">
        <v>63</v>
      </c>
      <c r="C72" s="1" t="s">
        <v>69</v>
      </c>
      <c r="D72" s="2" t="s">
        <v>51</v>
      </c>
      <c r="E72" t="str">
        <f t="shared" si="1"/>
        <v>H_21_A</v>
      </c>
      <c r="F72" s="1" t="s">
        <v>78</v>
      </c>
      <c r="G72" s="3">
        <f>IFERROR(INDEX(biomass!$B$2:$C$61,MATCH(data!D72,biomass!$A$2:$A$61,0),MATCH(data!B72,biomass!$B$1:$C$1,0))*1000,"NA")</f>
        <v>462</v>
      </c>
      <c r="H72">
        <f>IF($F72= "bare", 0, IFERROR(INDEX(carbon!$A$14:$J$48,MATCH("*"&amp;data!$E72&amp;"*",carbon!$A$14:$A$48,0),2), "NA") )</f>
        <v>73.64</v>
      </c>
      <c r="I72">
        <f>IF($F72= "bare", 0, IFERROR(INDEX(carbon!$A$14:$J$48,MATCH("*"&amp;data!$E72&amp;"*",carbon!$A$14:$A$48,0),4), "NA") )</f>
        <v>21.93</v>
      </c>
      <c r="J72">
        <f>IF($F72= "bare", 0, IFERROR(INDEX(carbon!$A$14:$J$48,MATCH("*"&amp;data!$E72&amp;"*",carbon!$A$14:$A$48,0),6), "NA") )</f>
        <v>147.38999999999999</v>
      </c>
      <c r="K72">
        <f>IF($F72= "bare", 0, IFERROR(INDEX(carbon!$A$14:$J$48,MATCH("*"&amp;data!$E72&amp;"*",carbon!$A$14:$A$48,0),8), "NA") )</f>
        <v>1.2350000000000001</v>
      </c>
    </row>
    <row r="73" spans="1:11" ht="15">
      <c r="A73" s="1" t="s">
        <v>62</v>
      </c>
      <c r="B73" s="1" t="s">
        <v>63</v>
      </c>
      <c r="C73" s="1" t="s">
        <v>69</v>
      </c>
      <c r="D73" s="2" t="s">
        <v>52</v>
      </c>
      <c r="E73" t="str">
        <f t="shared" si="1"/>
        <v>H_22_A</v>
      </c>
      <c r="F73" s="1" t="s">
        <v>78</v>
      </c>
      <c r="G73" s="3">
        <f>IFERROR(INDEX(biomass!$B$2:$C$61,MATCH(data!D73,biomass!$A$2:$A$61,0),MATCH(data!B73,biomass!$B$1:$C$1,0))*1000,"NA")</f>
        <v>229</v>
      </c>
      <c r="H73">
        <f>IF($F73= "bare", 0, IFERROR(INDEX(carbon!$A$14:$J$48,MATCH("*"&amp;data!$E73&amp;"*",carbon!$A$14:$A$48,0),2), "NA") )</f>
        <v>73.64</v>
      </c>
      <c r="I73">
        <f>IF($F73= "bare", 0, IFERROR(INDEX(carbon!$A$14:$J$48,MATCH("*"&amp;data!$E73&amp;"*",carbon!$A$14:$A$48,0),4), "NA") )</f>
        <v>21.93</v>
      </c>
      <c r="J73">
        <f>IF($F73= "bare", 0, IFERROR(INDEX(carbon!$A$14:$J$48,MATCH("*"&amp;data!$E73&amp;"*",carbon!$A$14:$A$48,0),6), "NA") )</f>
        <v>147.38999999999999</v>
      </c>
      <c r="K73">
        <f>IF($F73= "bare", 0, IFERROR(INDEX(carbon!$A$14:$J$48,MATCH("*"&amp;data!$E73&amp;"*",carbon!$A$14:$A$48,0),8), "NA") )</f>
        <v>1.2350000000000001</v>
      </c>
    </row>
    <row r="74" spans="1:11" ht="15">
      <c r="A74" s="1" t="s">
        <v>62</v>
      </c>
      <c r="B74" s="1" t="s">
        <v>63</v>
      </c>
      <c r="C74" s="1" t="s">
        <v>69</v>
      </c>
      <c r="D74" s="2" t="s">
        <v>53</v>
      </c>
      <c r="E74" t="str">
        <f t="shared" si="1"/>
        <v>H_23_A</v>
      </c>
      <c r="F74" s="1" t="s">
        <v>78</v>
      </c>
      <c r="G74" s="3">
        <f>IFERROR(INDEX(biomass!$B$2:$C$61,MATCH(data!D74,biomass!$A$2:$A$61,0),MATCH(data!B74,biomass!$B$1:$C$1,0))*1000,"NA")</f>
        <v>766</v>
      </c>
      <c r="H74">
        <f>IF($F74= "bare", 0, IFERROR(INDEX(carbon!$A$14:$J$48,MATCH("*"&amp;data!$E74&amp;"*",carbon!$A$14:$A$48,0),2), "NA") )</f>
        <v>73.430000000000007</v>
      </c>
      <c r="I74">
        <f>IF($F74= "bare", 0, IFERROR(INDEX(carbon!$A$14:$J$48,MATCH("*"&amp;data!$E74&amp;"*",carbon!$A$14:$A$48,0),4), "NA") )</f>
        <v>22.67</v>
      </c>
      <c r="J74">
        <f>IF($F74= "bare", 0, IFERROR(INDEX(carbon!$A$14:$J$48,MATCH("*"&amp;data!$E74&amp;"*",carbon!$A$14:$A$48,0),6), "NA") )</f>
        <v>198.64</v>
      </c>
      <c r="K74">
        <f>IF($F74= "bare", 0, IFERROR(INDEX(carbon!$A$14:$J$48,MATCH("*"&amp;data!$E74&amp;"*",carbon!$A$14:$A$48,0),8), "NA") )</f>
        <v>0.83509999999999995</v>
      </c>
    </row>
    <row r="75" spans="1:11" ht="15">
      <c r="A75" s="1" t="s">
        <v>62</v>
      </c>
      <c r="B75" s="1" t="s">
        <v>63</v>
      </c>
      <c r="C75" s="1" t="s">
        <v>69</v>
      </c>
      <c r="D75" s="2" t="s">
        <v>54</v>
      </c>
      <c r="E75" t="str">
        <f t="shared" si="1"/>
        <v>H_24_A</v>
      </c>
      <c r="F75" s="1" t="s">
        <v>78</v>
      </c>
      <c r="G75" s="3">
        <f>IFERROR(INDEX(biomass!$B$2:$C$61,MATCH(data!D75,biomass!$A$2:$A$61,0),MATCH(data!B75,biomass!$B$1:$C$1,0))*1000,"NA")</f>
        <v>1139</v>
      </c>
      <c r="H75" t="str">
        <f>IF($F75= "bare", 0, IFERROR(INDEX(carbon!$A$14:$J$48,MATCH("*"&amp;data!$E75&amp;"*",carbon!$A$14:$A$48,0),2), "NA") )</f>
        <v>NA</v>
      </c>
      <c r="I75" t="str">
        <f>IF($F75= "bare", 0, IFERROR(INDEX(carbon!$A$14:$J$48,MATCH("*"&amp;data!$E75&amp;"*",carbon!$A$14:$A$48,0),4), "NA") )</f>
        <v>NA</v>
      </c>
      <c r="J75" t="str">
        <f>IF($F75= "bare", 0, IFERROR(INDEX(carbon!$A$14:$J$48,MATCH("*"&amp;data!$E75&amp;"*",carbon!$A$14:$A$48,0),6), "NA") )</f>
        <v>NA</v>
      </c>
      <c r="K75" t="str">
        <f>IF($F75= "bare", 0, IFERROR(INDEX(carbon!$A$14:$J$48,MATCH("*"&amp;data!$E75&amp;"*",carbon!$A$14:$A$48,0),8), "NA") )</f>
        <v>NA</v>
      </c>
    </row>
    <row r="76" spans="1:11" ht="15">
      <c r="A76" s="1" t="s">
        <v>62</v>
      </c>
      <c r="B76" s="1" t="s">
        <v>63</v>
      </c>
      <c r="C76" s="1" t="s">
        <v>69</v>
      </c>
      <c r="D76" s="2" t="s">
        <v>55</v>
      </c>
      <c r="E76" t="str">
        <f t="shared" si="1"/>
        <v>H_25_A</v>
      </c>
      <c r="F76" s="1" t="s">
        <v>78</v>
      </c>
      <c r="G76" s="3">
        <f>IFERROR(INDEX(biomass!$B$2:$C$61,MATCH(data!D76,biomass!$A$2:$A$61,0),MATCH(data!B76,biomass!$B$1:$C$1,0))*1000,"NA")</f>
        <v>1879</v>
      </c>
      <c r="H76" t="str">
        <f>IF($F76= "bare", 0, IFERROR(INDEX(carbon!$A$14:$J$48,MATCH("*"&amp;data!$E76&amp;"*",carbon!$A$14:$A$48,0),2), "NA") )</f>
        <v>NA</v>
      </c>
      <c r="I76" t="str">
        <f>IF($F76= "bare", 0, IFERROR(INDEX(carbon!$A$14:$J$48,MATCH("*"&amp;data!$E76&amp;"*",carbon!$A$14:$A$48,0),4), "NA") )</f>
        <v>NA</v>
      </c>
      <c r="J76" t="str">
        <f>IF($F76= "bare", 0, IFERROR(INDEX(carbon!$A$14:$J$48,MATCH("*"&amp;data!$E76&amp;"*",carbon!$A$14:$A$48,0),6), "NA") )</f>
        <v>NA</v>
      </c>
      <c r="K76" t="str">
        <f>IF($F76= "bare", 0, IFERROR(INDEX(carbon!$A$14:$J$48,MATCH("*"&amp;data!$E76&amp;"*",carbon!$A$14:$A$48,0),8), "NA") )</f>
        <v>NA</v>
      </c>
    </row>
    <row r="77" spans="1:11" ht="15">
      <c r="A77" s="1" t="s">
        <v>62</v>
      </c>
      <c r="B77" s="1" t="s">
        <v>63</v>
      </c>
      <c r="C77" s="1" t="s">
        <v>69</v>
      </c>
      <c r="D77" s="2" t="s">
        <v>56</v>
      </c>
      <c r="E77" t="str">
        <f t="shared" si="1"/>
        <v>H_26_A</v>
      </c>
      <c r="F77" s="1" t="s">
        <v>78</v>
      </c>
      <c r="G77" s="3">
        <f>IFERROR(INDEX(biomass!$B$2:$C$61,MATCH(data!D77,biomass!$A$2:$A$61,0),MATCH(data!B77,biomass!$B$1:$C$1,0))*1000,"NA")</f>
        <v>365</v>
      </c>
      <c r="H77">
        <f>IF($F77= "bare", 0, IFERROR(INDEX(carbon!$A$14:$J$48,MATCH("*"&amp;data!$E77&amp;"*",carbon!$A$14:$A$48,0),2), "NA") )</f>
        <v>73.64</v>
      </c>
      <c r="I77">
        <f>IF($F77= "bare", 0, IFERROR(INDEX(carbon!$A$14:$J$48,MATCH("*"&amp;data!$E77&amp;"*",carbon!$A$14:$A$48,0),4), "NA") )</f>
        <v>21.93</v>
      </c>
      <c r="J77">
        <f>IF($F77= "bare", 0, IFERROR(INDEX(carbon!$A$14:$J$48,MATCH("*"&amp;data!$E77&amp;"*",carbon!$A$14:$A$48,0),6), "NA") )</f>
        <v>147.38999999999999</v>
      </c>
      <c r="K77">
        <f>IF($F77= "bare", 0, IFERROR(INDEX(carbon!$A$14:$J$48,MATCH("*"&amp;data!$E77&amp;"*",carbon!$A$14:$A$48,0),8), "NA") )</f>
        <v>1.2350000000000001</v>
      </c>
    </row>
    <row r="78" spans="1:11" ht="15">
      <c r="A78" s="1" t="s">
        <v>62</v>
      </c>
      <c r="B78" s="1" t="s">
        <v>63</v>
      </c>
      <c r="C78" s="1" t="s">
        <v>69</v>
      </c>
      <c r="D78" s="2" t="s">
        <v>57</v>
      </c>
      <c r="E78" t="str">
        <f t="shared" si="1"/>
        <v>H_27_A</v>
      </c>
      <c r="F78" s="1" t="s">
        <v>78</v>
      </c>
      <c r="G78" s="3">
        <f>IFERROR(INDEX(biomass!$B$2:$C$61,MATCH(data!D78,biomass!$A$2:$A$61,0),MATCH(data!B78,biomass!$B$1:$C$1,0))*1000,"NA")</f>
        <v>1290</v>
      </c>
      <c r="H78">
        <f>IF($F78= "bare", 0, IFERROR(INDEX(carbon!$A$14:$J$48,MATCH("*"&amp;data!$E78&amp;"*",carbon!$A$14:$A$48,0),2), "NA") )</f>
        <v>74.959999999999994</v>
      </c>
      <c r="I78">
        <f>IF($F78= "bare", 0, IFERROR(INDEX(carbon!$A$14:$J$48,MATCH("*"&amp;data!$E78&amp;"*",carbon!$A$14:$A$48,0),4), "NA") )</f>
        <v>23.97</v>
      </c>
      <c r="J78">
        <f>IF($F78= "bare", 0, IFERROR(INDEX(carbon!$A$14:$J$48,MATCH("*"&amp;data!$E78&amp;"*",carbon!$A$14:$A$48,0),6), "NA") )</f>
        <v>207.59</v>
      </c>
      <c r="K78">
        <f>IF($F78= "bare", 0, IFERROR(INDEX(carbon!$A$14:$J$48,MATCH("*"&amp;data!$E78&amp;"*",carbon!$A$14:$A$48,0),8), "NA") )</f>
        <v>1.4990000000000001</v>
      </c>
    </row>
    <row r="79" spans="1:11" ht="15">
      <c r="A79" s="1" t="s">
        <v>62</v>
      </c>
      <c r="B79" s="1" t="s">
        <v>63</v>
      </c>
      <c r="C79" s="1" t="s">
        <v>69</v>
      </c>
      <c r="D79" s="2" t="s">
        <v>58</v>
      </c>
      <c r="E79" t="str">
        <f t="shared" si="1"/>
        <v>H_28_A</v>
      </c>
      <c r="F79" s="1" t="s">
        <v>78</v>
      </c>
      <c r="G79" s="3">
        <f>IFERROR(INDEX(biomass!$B$2:$C$61,MATCH(data!D79,biomass!$A$2:$A$61,0),MATCH(data!B79,biomass!$B$1:$C$1,0))*1000,"NA")</f>
        <v>768</v>
      </c>
      <c r="H79" t="str">
        <f>IF($F79= "bare", 0, IFERROR(INDEX(carbon!$A$14:$J$48,MATCH("*"&amp;data!$E79&amp;"*",carbon!$A$14:$A$48,0),2), "NA") )</f>
        <v>NA</v>
      </c>
      <c r="I79" t="str">
        <f>IF($F79= "bare", 0, IFERROR(INDEX(carbon!$A$14:$J$48,MATCH("*"&amp;data!$E79&amp;"*",carbon!$A$14:$A$48,0),4), "NA") )</f>
        <v>NA</v>
      </c>
      <c r="J79" t="str">
        <f>IF($F79= "bare", 0, IFERROR(INDEX(carbon!$A$14:$J$48,MATCH("*"&amp;data!$E79&amp;"*",carbon!$A$14:$A$48,0),6), "NA") )</f>
        <v>NA</v>
      </c>
      <c r="K79" t="str">
        <f>IF($F79= "bare", 0, IFERROR(INDEX(carbon!$A$14:$J$48,MATCH("*"&amp;data!$E79&amp;"*",carbon!$A$14:$A$48,0),8), "NA") )</f>
        <v>NA</v>
      </c>
    </row>
    <row r="80" spans="1:11" ht="15">
      <c r="A80" s="1" t="s">
        <v>62</v>
      </c>
      <c r="B80" s="1" t="s">
        <v>63</v>
      </c>
      <c r="C80" s="1" t="s">
        <v>69</v>
      </c>
      <c r="D80" s="2" t="s">
        <v>59</v>
      </c>
      <c r="E80" t="str">
        <f t="shared" si="1"/>
        <v>H_29_A</v>
      </c>
      <c r="F80" s="1" t="s">
        <v>78</v>
      </c>
      <c r="G80" s="3">
        <f>IFERROR(INDEX(biomass!$B$2:$C$61,MATCH(data!D80,biomass!$A$2:$A$61,0),MATCH(data!B80,biomass!$B$1:$C$1,0))*1000,"NA")</f>
        <v>1024</v>
      </c>
      <c r="H80">
        <f>IF($F80= "bare", 0, IFERROR(INDEX(carbon!$A$14:$J$48,MATCH("*"&amp;data!$E80&amp;"*",carbon!$A$14:$A$48,0),2), "NA") )</f>
        <v>76.47</v>
      </c>
      <c r="I80">
        <f>IF($F80= "bare", 0, IFERROR(INDEX(carbon!$A$14:$J$48,MATCH("*"&amp;data!$E80&amp;"*",carbon!$A$14:$A$48,0),4), "NA") )</f>
        <v>21.5</v>
      </c>
      <c r="J80">
        <f>IF($F80= "bare", 0, IFERROR(INDEX(carbon!$A$14:$J$48,MATCH("*"&amp;data!$E80&amp;"*",carbon!$A$14:$A$48,0),6), "NA") )</f>
        <v>216.43</v>
      </c>
      <c r="K80">
        <f>IF($F80= "bare", 0, IFERROR(INDEX(carbon!$A$14:$J$48,MATCH("*"&amp;data!$E80&amp;"*",carbon!$A$14:$A$48,0),8), "NA") )</f>
        <v>1.0720000000000001</v>
      </c>
    </row>
    <row r="81" spans="1:11" ht="15">
      <c r="A81" s="1" t="s">
        <v>62</v>
      </c>
      <c r="B81" s="1" t="s">
        <v>63</v>
      </c>
      <c r="C81" s="1" t="s">
        <v>69</v>
      </c>
      <c r="D81" s="2" t="s">
        <v>60</v>
      </c>
      <c r="E81" t="str">
        <f t="shared" si="1"/>
        <v>H_30_A</v>
      </c>
      <c r="F81" s="1" t="s">
        <v>78</v>
      </c>
      <c r="G81" s="3">
        <f>IFERROR(INDEX(biomass!$B$2:$C$61,MATCH(data!D81,biomass!$A$2:$A$61,0),MATCH(data!B81,biomass!$B$1:$C$1,0))*1000,"NA")</f>
        <v>1217</v>
      </c>
      <c r="H81">
        <f>IF($F81= "bare", 0, IFERROR(INDEX(carbon!$A$14:$J$48,MATCH("*"&amp;data!$E81&amp;"*",carbon!$A$14:$A$48,0),2), "NA") )</f>
        <v>70.349999999999994</v>
      </c>
      <c r="I81">
        <f>IF($F81= "bare", 0, IFERROR(INDEX(carbon!$A$14:$J$48,MATCH("*"&amp;data!$E81&amp;"*",carbon!$A$14:$A$48,0),4), "NA") )</f>
        <v>22.09</v>
      </c>
      <c r="J81">
        <f>IF($F81= "bare", 0, IFERROR(INDEX(carbon!$A$14:$J$48,MATCH("*"&amp;data!$E81&amp;"*",carbon!$A$14:$A$48,0),6), "NA") )</f>
        <v>239.05</v>
      </c>
      <c r="K81">
        <f>IF($F81= "bare", 0, IFERROR(INDEX(carbon!$A$14:$J$48,MATCH("*"&amp;data!$E81&amp;"*",carbon!$A$14:$A$48,0),8), "NA") )</f>
        <v>2.0960000000000001</v>
      </c>
    </row>
    <row r="82" spans="1:11" ht="15">
      <c r="A82" s="1" t="s">
        <v>62</v>
      </c>
      <c r="B82" s="1" t="s">
        <v>64</v>
      </c>
      <c r="C82" s="1" t="s">
        <v>69</v>
      </c>
      <c r="D82" s="2" t="s">
        <v>31</v>
      </c>
      <c r="E82" t="str">
        <f t="shared" si="1"/>
        <v>H_01_B</v>
      </c>
      <c r="F82" s="1" t="s">
        <v>78</v>
      </c>
      <c r="G82" s="3">
        <f>IFERROR(INDEX(biomass!$B$2:$C$61,MATCH(data!D82,biomass!$A$2:$A$61,0),MATCH(data!B82,biomass!$B$1:$C$1,0))*1000,"NA")</f>
        <v>916</v>
      </c>
      <c r="H82">
        <f>IF($F82= "bare", 0, IFERROR(INDEX(carbon!$A$14:$J$48,MATCH("*"&amp;data!$E82&amp;"*",carbon!$A$14:$A$48,0),2), "NA") )</f>
        <v>76.97</v>
      </c>
      <c r="I82">
        <f>IF($F82= "bare", 0, IFERROR(INDEX(carbon!$A$14:$J$48,MATCH("*"&amp;data!$E82&amp;"*",carbon!$A$14:$A$48,0),4), "NA") )</f>
        <v>23.84</v>
      </c>
      <c r="J82">
        <f>IF($F82= "bare", 0, IFERROR(INDEX(carbon!$A$14:$J$48,MATCH("*"&amp;data!$E82&amp;"*",carbon!$A$14:$A$48,0),6), "NA") )</f>
        <v>232.5</v>
      </c>
      <c r="K82">
        <f>IF($F82= "bare", 0, IFERROR(INDEX(carbon!$A$14:$J$48,MATCH("*"&amp;data!$E82&amp;"*",carbon!$A$14:$A$48,0),8), "NA") )</f>
        <v>1.31</v>
      </c>
    </row>
    <row r="83" spans="1:11" ht="15">
      <c r="A83" s="1" t="s">
        <v>62</v>
      </c>
      <c r="B83" s="1" t="s">
        <v>64</v>
      </c>
      <c r="C83" s="1" t="s">
        <v>69</v>
      </c>
      <c r="D83" s="2" t="s">
        <v>32</v>
      </c>
      <c r="E83" t="str">
        <f t="shared" si="1"/>
        <v>H_02_B</v>
      </c>
      <c r="F83" s="1" t="s">
        <v>78</v>
      </c>
      <c r="G83" s="3">
        <f>IFERROR(INDEX(biomass!$B$2:$C$61,MATCH(data!D83,biomass!$A$2:$A$61,0),MATCH(data!B83,biomass!$B$1:$C$1,0))*1000,"NA")</f>
        <v>1845</v>
      </c>
      <c r="H83">
        <f>IF($F83= "bare", 0, IFERROR(INDEX(carbon!$A$14:$J$48,MATCH("*"&amp;data!$E83&amp;"*",carbon!$A$14:$A$48,0),2), "NA") )</f>
        <v>70.16</v>
      </c>
      <c r="I83">
        <f>IF($F83= "bare", 0, IFERROR(INDEX(carbon!$A$14:$J$48,MATCH("*"&amp;data!$E83&amp;"*",carbon!$A$14:$A$48,0),4), "NA") )</f>
        <v>20.91</v>
      </c>
      <c r="J83">
        <f>IF($F83= "bare", 0, IFERROR(INDEX(carbon!$A$14:$J$48,MATCH("*"&amp;data!$E83&amp;"*",carbon!$A$14:$A$48,0),6), "NA") )</f>
        <v>215.32</v>
      </c>
      <c r="K83">
        <f>IF($F83= "bare", 0, IFERROR(INDEX(carbon!$A$14:$J$48,MATCH("*"&amp;data!$E83&amp;"*",carbon!$A$14:$A$48,0),8), "NA") )</f>
        <v>0.89419999999999999</v>
      </c>
    </row>
    <row r="84" spans="1:11" ht="15">
      <c r="A84" s="1" t="s">
        <v>62</v>
      </c>
      <c r="B84" s="1" t="s">
        <v>64</v>
      </c>
      <c r="C84" s="1" t="s">
        <v>69</v>
      </c>
      <c r="D84" s="2" t="s">
        <v>33</v>
      </c>
      <c r="E84" t="str">
        <f t="shared" si="1"/>
        <v>H_03_B</v>
      </c>
      <c r="F84" s="1" t="s">
        <v>78</v>
      </c>
      <c r="G84" s="3">
        <f>IFERROR(INDEX(biomass!$B$2:$C$61,MATCH(data!D84,biomass!$A$2:$A$61,0),MATCH(data!B84,biomass!$B$1:$C$1,0))*1000,"NA")</f>
        <v>1748</v>
      </c>
      <c r="H84" t="str">
        <f>IF($F84= "bare", 0, IFERROR(INDEX(carbon!$A$14:$J$48,MATCH("*"&amp;data!$E84&amp;"*",carbon!$A$14:$A$48,0),2), "NA") )</f>
        <v>NA</v>
      </c>
      <c r="I84" t="str">
        <f>IF($F84= "bare", 0, IFERROR(INDEX(carbon!$A$14:$J$48,MATCH("*"&amp;data!$E84&amp;"*",carbon!$A$14:$A$48,0),4), "NA") )</f>
        <v>NA</v>
      </c>
      <c r="J84" t="str">
        <f>IF($F84= "bare", 0, IFERROR(INDEX(carbon!$A$14:$J$48,MATCH("*"&amp;data!$E84&amp;"*",carbon!$A$14:$A$48,0),6), "NA") )</f>
        <v>NA</v>
      </c>
      <c r="K84" t="str">
        <f>IF($F84= "bare", 0, IFERROR(INDEX(carbon!$A$14:$J$48,MATCH("*"&amp;data!$E84&amp;"*",carbon!$A$14:$A$48,0),8), "NA") )</f>
        <v>NA</v>
      </c>
    </row>
    <row r="85" spans="1:11" ht="15">
      <c r="A85" s="1" t="s">
        <v>62</v>
      </c>
      <c r="B85" s="1" t="s">
        <v>64</v>
      </c>
      <c r="C85" s="1" t="s">
        <v>69</v>
      </c>
      <c r="D85" s="2" t="s">
        <v>34</v>
      </c>
      <c r="E85" t="str">
        <f t="shared" si="1"/>
        <v>H_04_B</v>
      </c>
      <c r="F85" s="1" t="s">
        <v>78</v>
      </c>
      <c r="G85" s="3">
        <f>IFERROR(INDEX(biomass!$B$2:$C$61,MATCH(data!D85,biomass!$A$2:$A$61,0),MATCH(data!B85,biomass!$B$1:$C$1,0))*1000,"NA")</f>
        <v>321</v>
      </c>
      <c r="H85">
        <f>IF($F85= "bare", 0, IFERROR(INDEX(carbon!$A$14:$J$48,MATCH("*"&amp;data!$E85&amp;"*",carbon!$A$14:$A$48,0),2), "NA") )</f>
        <v>73.95</v>
      </c>
      <c r="I85">
        <f>IF($F85= "bare", 0, IFERROR(INDEX(carbon!$A$14:$J$48,MATCH("*"&amp;data!$E85&amp;"*",carbon!$A$14:$A$48,0),4), "NA") )</f>
        <v>19.45</v>
      </c>
      <c r="J85">
        <f>IF($F85= "bare", 0, IFERROR(INDEX(carbon!$A$14:$J$48,MATCH("*"&amp;data!$E85&amp;"*",carbon!$A$14:$A$48,0),6), "NA") )</f>
        <v>225.17</v>
      </c>
      <c r="K85">
        <f>IF($F85= "bare", 0, IFERROR(INDEX(carbon!$A$14:$J$48,MATCH("*"&amp;data!$E85&amp;"*",carbon!$A$14:$A$48,0),8), "NA") )</f>
        <v>0.26740000000000003</v>
      </c>
    </row>
    <row r="86" spans="1:11" ht="15">
      <c r="A86" s="1" t="s">
        <v>62</v>
      </c>
      <c r="B86" s="1" t="s">
        <v>64</v>
      </c>
      <c r="C86" s="1" t="s">
        <v>69</v>
      </c>
      <c r="D86" s="2" t="s">
        <v>35</v>
      </c>
      <c r="E86" t="str">
        <f t="shared" si="1"/>
        <v>H_05_B</v>
      </c>
      <c r="F86" s="1" t="s">
        <v>78</v>
      </c>
      <c r="G86" s="3">
        <f>IFERROR(INDEX(biomass!$B$2:$C$61,MATCH(data!D86,biomass!$A$2:$A$61,0),MATCH(data!B86,biomass!$B$1:$C$1,0))*1000,"NA")</f>
        <v>1365.2</v>
      </c>
      <c r="H86" t="str">
        <f>IF($F86= "bare", 0, IFERROR(INDEX(carbon!$A$14:$J$48,MATCH("*"&amp;data!$E86&amp;"*",carbon!$A$14:$A$48,0),2), "NA") )</f>
        <v>NA</v>
      </c>
      <c r="I86" t="str">
        <f>IF($F86= "bare", 0, IFERROR(INDEX(carbon!$A$14:$J$48,MATCH("*"&amp;data!$E86&amp;"*",carbon!$A$14:$A$48,0),4), "NA") )</f>
        <v>NA</v>
      </c>
      <c r="J86" t="str">
        <f>IF($F86= "bare", 0, IFERROR(INDEX(carbon!$A$14:$J$48,MATCH("*"&amp;data!$E86&amp;"*",carbon!$A$14:$A$48,0),6), "NA") )</f>
        <v>NA</v>
      </c>
      <c r="K86" t="str">
        <f>IF($F86= "bare", 0, IFERROR(INDEX(carbon!$A$14:$J$48,MATCH("*"&amp;data!$E86&amp;"*",carbon!$A$14:$A$48,0),8), "NA") )</f>
        <v>NA</v>
      </c>
    </row>
    <row r="87" spans="1:11" ht="15">
      <c r="A87" s="1" t="s">
        <v>62</v>
      </c>
      <c r="B87" s="1" t="s">
        <v>64</v>
      </c>
      <c r="C87" s="1" t="s">
        <v>69</v>
      </c>
      <c r="D87" s="2" t="s">
        <v>36</v>
      </c>
      <c r="E87" t="str">
        <f t="shared" si="1"/>
        <v>H_06_B</v>
      </c>
      <c r="F87" s="1" t="s">
        <v>78</v>
      </c>
      <c r="G87" s="3">
        <f>IFERROR(INDEX(biomass!$B$2:$C$61,MATCH(data!D87,biomass!$A$2:$A$61,0),MATCH(data!B87,biomass!$B$1:$C$1,0))*1000,"NA")</f>
        <v>1457</v>
      </c>
      <c r="H87" t="str">
        <f>IF($F87= "bare", 0, IFERROR(INDEX(carbon!$A$14:$J$48,MATCH("*"&amp;data!$E87&amp;"*",carbon!$A$14:$A$48,0),2), "NA") )</f>
        <v>NA</v>
      </c>
      <c r="I87" t="str">
        <f>IF($F87= "bare", 0, IFERROR(INDEX(carbon!$A$14:$J$48,MATCH("*"&amp;data!$E87&amp;"*",carbon!$A$14:$A$48,0),4), "NA") )</f>
        <v>NA</v>
      </c>
      <c r="J87" t="str">
        <f>IF($F87= "bare", 0, IFERROR(INDEX(carbon!$A$14:$J$48,MATCH("*"&amp;data!$E87&amp;"*",carbon!$A$14:$A$48,0),6), "NA") )</f>
        <v>NA</v>
      </c>
      <c r="K87" t="str">
        <f>IF($F87= "bare", 0, IFERROR(INDEX(carbon!$A$14:$J$48,MATCH("*"&amp;data!$E87&amp;"*",carbon!$A$14:$A$48,0),8), "NA") )</f>
        <v>NA</v>
      </c>
    </row>
    <row r="88" spans="1:11" ht="15">
      <c r="A88" s="1" t="s">
        <v>62</v>
      </c>
      <c r="B88" s="1" t="s">
        <v>64</v>
      </c>
      <c r="C88" s="1" t="s">
        <v>69</v>
      </c>
      <c r="D88" s="2" t="s">
        <v>37</v>
      </c>
      <c r="E88" t="str">
        <f t="shared" si="1"/>
        <v>H_07_B</v>
      </c>
      <c r="F88" s="1" t="s">
        <v>78</v>
      </c>
      <c r="G88" s="3">
        <f>IFERROR(INDEX(biomass!$B$2:$C$61,MATCH(data!D88,biomass!$A$2:$A$61,0),MATCH(data!B88,biomass!$B$1:$C$1,0))*1000,"NA")</f>
        <v>987</v>
      </c>
      <c r="H88" t="str">
        <f>IF($F88= "bare", 0, IFERROR(INDEX(carbon!$A$14:$J$48,MATCH("*"&amp;data!$E88&amp;"*",carbon!$A$14:$A$48,0),2), "NA") )</f>
        <v>NA</v>
      </c>
      <c r="I88" t="str">
        <f>IF($F88= "bare", 0, IFERROR(INDEX(carbon!$A$14:$J$48,MATCH("*"&amp;data!$E88&amp;"*",carbon!$A$14:$A$48,0),4), "NA") )</f>
        <v>NA</v>
      </c>
      <c r="J88" t="str">
        <f>IF($F88= "bare", 0, IFERROR(INDEX(carbon!$A$14:$J$48,MATCH("*"&amp;data!$E88&amp;"*",carbon!$A$14:$A$48,0),6), "NA") )</f>
        <v>NA</v>
      </c>
      <c r="K88" t="str">
        <f>IF($F88= "bare", 0, IFERROR(INDEX(carbon!$A$14:$J$48,MATCH("*"&amp;data!$E88&amp;"*",carbon!$A$14:$A$48,0),8), "NA") )</f>
        <v>NA</v>
      </c>
    </row>
    <row r="89" spans="1:11" ht="15">
      <c r="A89" s="1" t="s">
        <v>62</v>
      </c>
      <c r="B89" s="1" t="s">
        <v>64</v>
      </c>
      <c r="C89" s="1" t="s">
        <v>69</v>
      </c>
      <c r="D89" s="2" t="s">
        <v>38</v>
      </c>
      <c r="E89" t="str">
        <f t="shared" si="1"/>
        <v>H_08_B</v>
      </c>
      <c r="F89" s="1" t="s">
        <v>78</v>
      </c>
      <c r="G89" s="3">
        <f>IFERROR(INDEX(biomass!$B$2:$C$61,MATCH(data!D89,biomass!$A$2:$A$61,0),MATCH(data!B89,biomass!$B$1:$C$1,0))*1000,"NA")</f>
        <v>1339</v>
      </c>
      <c r="H89">
        <f>IF($F89= "bare", 0, IFERROR(INDEX(carbon!$A$14:$J$48,MATCH("*"&amp;data!$E89&amp;"*",carbon!$A$14:$A$48,0),2), "NA") )</f>
        <v>77.14</v>
      </c>
      <c r="I89">
        <f>IF($F89= "bare", 0, IFERROR(INDEX(carbon!$A$14:$J$48,MATCH("*"&amp;data!$E89&amp;"*",carbon!$A$14:$A$48,0),4), "NA") )</f>
        <v>20.83</v>
      </c>
      <c r="J89">
        <f>IF($F89= "bare", 0, IFERROR(INDEX(carbon!$A$14:$J$48,MATCH("*"&amp;data!$E89&amp;"*",carbon!$A$14:$A$48,0),6), "NA") )</f>
        <v>216.79</v>
      </c>
      <c r="K89">
        <f>IF($F89= "bare", 0, IFERROR(INDEX(carbon!$A$14:$J$48,MATCH("*"&amp;data!$E89&amp;"*",carbon!$A$14:$A$48,0),8), "NA") )</f>
        <v>1.5</v>
      </c>
    </row>
    <row r="90" spans="1:11" ht="15">
      <c r="A90" s="1" t="s">
        <v>62</v>
      </c>
      <c r="B90" s="1" t="s">
        <v>64</v>
      </c>
      <c r="C90" s="1" t="s">
        <v>69</v>
      </c>
      <c r="D90" s="2" t="s">
        <v>39</v>
      </c>
      <c r="E90" t="str">
        <f t="shared" si="1"/>
        <v>H_09_B</v>
      </c>
      <c r="F90" s="1" t="s">
        <v>78</v>
      </c>
      <c r="G90" s="3">
        <f>IFERROR(INDEX(biomass!$B$2:$C$61,MATCH(data!D90,biomass!$A$2:$A$61,0),MATCH(data!B90,biomass!$B$1:$C$1,0))*1000,"NA")</f>
        <v>762</v>
      </c>
      <c r="H90" t="str">
        <f>IF($F90= "bare", 0, IFERROR(INDEX(carbon!$A$14:$J$48,MATCH("*"&amp;data!$E90&amp;"*",carbon!$A$14:$A$48,0),2), "NA") )</f>
        <v>NA</v>
      </c>
      <c r="I90" t="str">
        <f>IF($F90= "bare", 0, IFERROR(INDEX(carbon!$A$14:$J$48,MATCH("*"&amp;data!$E90&amp;"*",carbon!$A$14:$A$48,0),4), "NA") )</f>
        <v>NA</v>
      </c>
      <c r="J90" t="str">
        <f>IF($F90= "bare", 0, IFERROR(INDEX(carbon!$A$14:$J$48,MATCH("*"&amp;data!$E90&amp;"*",carbon!$A$14:$A$48,0),6), "NA") )</f>
        <v>NA</v>
      </c>
      <c r="K90" t="str">
        <f>IF($F90= "bare", 0, IFERROR(INDEX(carbon!$A$14:$J$48,MATCH("*"&amp;data!$E90&amp;"*",carbon!$A$14:$A$48,0),8), "NA") )</f>
        <v>NA</v>
      </c>
    </row>
    <row r="91" spans="1:11" ht="15">
      <c r="A91" s="1" t="s">
        <v>62</v>
      </c>
      <c r="B91" s="1" t="s">
        <v>64</v>
      </c>
      <c r="C91" s="1" t="s">
        <v>69</v>
      </c>
      <c r="D91" s="2" t="s">
        <v>40</v>
      </c>
      <c r="E91" t="str">
        <f t="shared" si="1"/>
        <v>H_10_B</v>
      </c>
      <c r="F91" s="1" t="s">
        <v>78</v>
      </c>
      <c r="G91" s="3">
        <f>IFERROR(INDEX(biomass!$B$2:$C$61,MATCH(data!D91,biomass!$A$2:$A$61,0),MATCH(data!B91,biomass!$B$1:$C$1,0))*1000,"NA")</f>
        <v>626</v>
      </c>
      <c r="H91" t="str">
        <f>IF($F91= "bare", 0, IFERROR(INDEX(carbon!$A$14:$J$48,MATCH("*"&amp;data!$E91&amp;"*",carbon!$A$14:$A$48,0),2), "NA") )</f>
        <v>NA</v>
      </c>
      <c r="I91" t="str">
        <f>IF($F91= "bare", 0, IFERROR(INDEX(carbon!$A$14:$J$48,MATCH("*"&amp;data!$E91&amp;"*",carbon!$A$14:$A$48,0),4), "NA") )</f>
        <v>NA</v>
      </c>
      <c r="J91" t="str">
        <f>IF($F91= "bare", 0, IFERROR(INDEX(carbon!$A$14:$J$48,MATCH("*"&amp;data!$E91&amp;"*",carbon!$A$14:$A$48,0),6), "NA") )</f>
        <v>NA</v>
      </c>
      <c r="K91" t="str">
        <f>IF($F91= "bare", 0, IFERROR(INDEX(carbon!$A$14:$J$48,MATCH("*"&amp;data!$E91&amp;"*",carbon!$A$14:$A$48,0),8), "NA") )</f>
        <v>NA</v>
      </c>
    </row>
    <row r="92" spans="1:11" ht="15">
      <c r="A92" s="1" t="s">
        <v>62</v>
      </c>
      <c r="B92" s="1" t="s">
        <v>64</v>
      </c>
      <c r="C92" s="1" t="s">
        <v>69</v>
      </c>
      <c r="D92" s="2" t="s">
        <v>41</v>
      </c>
      <c r="E92" t="str">
        <f t="shared" si="1"/>
        <v>H_11_B</v>
      </c>
      <c r="F92" s="1" t="s">
        <v>78</v>
      </c>
      <c r="G92" s="3">
        <f>IFERROR(INDEX(biomass!$B$2:$C$61,MATCH(data!D92,biomass!$A$2:$A$61,0),MATCH(data!B92,biomass!$B$1:$C$1,0))*1000,"NA")</f>
        <v>537</v>
      </c>
      <c r="H92">
        <f>IF($F92= "bare", 0, IFERROR(INDEX(carbon!$A$14:$J$48,MATCH("*"&amp;data!$E92&amp;"*",carbon!$A$14:$A$48,0),2), "NA") )</f>
        <v>71.16</v>
      </c>
      <c r="I92">
        <f>IF($F92= "bare", 0, IFERROR(INDEX(carbon!$A$14:$J$48,MATCH("*"&amp;data!$E92&amp;"*",carbon!$A$14:$A$48,0),4), "NA") )</f>
        <v>19.61</v>
      </c>
      <c r="J92">
        <f>IF($F92= "bare", 0, IFERROR(INDEX(carbon!$A$14:$J$48,MATCH("*"&amp;data!$E92&amp;"*",carbon!$A$14:$A$48,0),6), "NA") )</f>
        <v>212.83</v>
      </c>
      <c r="K92">
        <f>IF($F92= "bare", 0, IFERROR(INDEX(carbon!$A$14:$J$48,MATCH("*"&amp;data!$E92&amp;"*",carbon!$A$14:$A$48,0),8), "NA") )</f>
        <v>0.80649999999999999</v>
      </c>
    </row>
    <row r="93" spans="1:11" ht="15">
      <c r="A93" s="1" t="s">
        <v>62</v>
      </c>
      <c r="B93" s="1" t="s">
        <v>64</v>
      </c>
      <c r="C93" s="1" t="s">
        <v>69</v>
      </c>
      <c r="D93" s="2" t="s">
        <v>42</v>
      </c>
      <c r="E93" t="str">
        <f t="shared" si="1"/>
        <v>H_12_B</v>
      </c>
      <c r="F93" s="1" t="s">
        <v>78</v>
      </c>
      <c r="G93" s="3">
        <f>IFERROR(INDEX(biomass!$B$2:$C$61,MATCH(data!D93,biomass!$A$2:$A$61,0),MATCH(data!B93,biomass!$B$1:$C$1,0))*1000,"NA")</f>
        <v>950</v>
      </c>
      <c r="H93">
        <f>IF($F93= "bare", 0, IFERROR(INDEX(carbon!$A$14:$J$48,MATCH("*"&amp;data!$E93&amp;"*",carbon!$A$14:$A$48,0),2), "NA") )</f>
        <v>76.31</v>
      </c>
      <c r="I93">
        <f>IF($F93= "bare", 0, IFERROR(INDEX(carbon!$A$14:$J$48,MATCH("*"&amp;data!$E93&amp;"*",carbon!$A$14:$A$48,0),4), "NA") )</f>
        <v>21.1</v>
      </c>
      <c r="J93">
        <f>IF($F93= "bare", 0, IFERROR(INDEX(carbon!$A$14:$J$48,MATCH("*"&amp;data!$E93&amp;"*",carbon!$A$14:$A$48,0),6), "NA") )</f>
        <v>225.05</v>
      </c>
      <c r="K93">
        <f>IF($F93= "bare", 0, IFERROR(INDEX(carbon!$A$14:$J$48,MATCH("*"&amp;data!$E93&amp;"*",carbon!$A$14:$A$48,0),8), "NA") )</f>
        <v>0.35010000000000002</v>
      </c>
    </row>
    <row r="94" spans="1:11" ht="15">
      <c r="A94" s="1" t="s">
        <v>62</v>
      </c>
      <c r="B94" s="1" t="s">
        <v>64</v>
      </c>
      <c r="C94" s="1" t="s">
        <v>69</v>
      </c>
      <c r="D94" s="2" t="s">
        <v>43</v>
      </c>
      <c r="E94" t="str">
        <f t="shared" si="1"/>
        <v>H_13_B</v>
      </c>
      <c r="F94" s="1" t="s">
        <v>78</v>
      </c>
      <c r="G94" s="3">
        <f>IFERROR(INDEX(biomass!$B$2:$C$61,MATCH(data!D94,biomass!$A$2:$A$61,0),MATCH(data!B94,biomass!$B$1:$C$1,0))*1000,"NA")</f>
        <v>1702.9999999999998</v>
      </c>
      <c r="H94" t="str">
        <f>IF($F94= "bare", 0, IFERROR(INDEX(carbon!$A$14:$J$48,MATCH("*"&amp;data!$E94&amp;"*",carbon!$A$14:$A$48,0),2), "NA") )</f>
        <v>NA</v>
      </c>
      <c r="I94" t="str">
        <f>IF($F94= "bare", 0, IFERROR(INDEX(carbon!$A$14:$J$48,MATCH("*"&amp;data!$E94&amp;"*",carbon!$A$14:$A$48,0),4), "NA") )</f>
        <v>NA</v>
      </c>
      <c r="J94" t="str">
        <f>IF($F94= "bare", 0, IFERROR(INDEX(carbon!$A$14:$J$48,MATCH("*"&amp;data!$E94&amp;"*",carbon!$A$14:$A$48,0),6), "NA") )</f>
        <v>NA</v>
      </c>
      <c r="K94" t="str">
        <f>IF($F94= "bare", 0, IFERROR(INDEX(carbon!$A$14:$J$48,MATCH("*"&amp;data!$E94&amp;"*",carbon!$A$14:$A$48,0),8), "NA") )</f>
        <v>NA</v>
      </c>
    </row>
    <row r="95" spans="1:11" ht="15">
      <c r="A95" s="1" t="s">
        <v>62</v>
      </c>
      <c r="B95" s="1" t="s">
        <v>64</v>
      </c>
      <c r="C95" s="1" t="s">
        <v>69</v>
      </c>
      <c r="D95" s="2" t="s">
        <v>44</v>
      </c>
      <c r="E95" t="str">
        <f t="shared" si="1"/>
        <v>H_14_B</v>
      </c>
      <c r="F95" s="1" t="s">
        <v>78</v>
      </c>
      <c r="G95" s="3">
        <f>IFERROR(INDEX(biomass!$B$2:$C$61,MATCH(data!D95,biomass!$A$2:$A$61,0),MATCH(data!B95,biomass!$B$1:$C$1,0))*1000,"NA")</f>
        <v>922</v>
      </c>
      <c r="H95" t="str">
        <f>IF($F95= "bare", 0, IFERROR(INDEX(carbon!$A$14:$J$48,MATCH("*"&amp;data!$E95&amp;"*",carbon!$A$14:$A$48,0),2), "NA") )</f>
        <v>NA</v>
      </c>
      <c r="I95" t="str">
        <f>IF($F95= "bare", 0, IFERROR(INDEX(carbon!$A$14:$J$48,MATCH("*"&amp;data!$E95&amp;"*",carbon!$A$14:$A$48,0),4), "NA") )</f>
        <v>NA</v>
      </c>
      <c r="J95" t="str">
        <f>IF($F95= "bare", 0, IFERROR(INDEX(carbon!$A$14:$J$48,MATCH("*"&amp;data!$E95&amp;"*",carbon!$A$14:$A$48,0),6), "NA") )</f>
        <v>NA</v>
      </c>
      <c r="K95" t="str">
        <f>IF($F95= "bare", 0, IFERROR(INDEX(carbon!$A$14:$J$48,MATCH("*"&amp;data!$E95&amp;"*",carbon!$A$14:$A$48,0),8), "NA") )</f>
        <v>NA</v>
      </c>
    </row>
    <row r="96" spans="1:11" ht="15">
      <c r="A96" s="1" t="s">
        <v>62</v>
      </c>
      <c r="B96" s="1" t="s">
        <v>64</v>
      </c>
      <c r="C96" s="1" t="s">
        <v>69</v>
      </c>
      <c r="D96" s="2" t="s">
        <v>45</v>
      </c>
      <c r="E96" t="str">
        <f t="shared" si="1"/>
        <v>H_15_B</v>
      </c>
      <c r="F96" s="1" t="s">
        <v>78</v>
      </c>
      <c r="G96" s="3">
        <f>IFERROR(INDEX(biomass!$B$2:$C$61,MATCH(data!D96,biomass!$A$2:$A$61,0),MATCH(data!B96,biomass!$B$1:$C$1,0))*1000,"NA")</f>
        <v>202</v>
      </c>
      <c r="H96">
        <f>IF($F96= "bare", 0, IFERROR(INDEX(carbon!$A$14:$J$48,MATCH("*"&amp;data!$E96&amp;"*",carbon!$A$14:$A$48,0),2), "NA") )</f>
        <v>73.95</v>
      </c>
      <c r="I96">
        <f>IF($F96= "bare", 0, IFERROR(INDEX(carbon!$A$14:$J$48,MATCH("*"&amp;data!$E96&amp;"*",carbon!$A$14:$A$48,0),4), "NA") )</f>
        <v>19.45</v>
      </c>
      <c r="J96">
        <f>IF($F96= "bare", 0, IFERROR(INDEX(carbon!$A$14:$J$48,MATCH("*"&amp;data!$E96&amp;"*",carbon!$A$14:$A$48,0),6), "NA") )</f>
        <v>225.17</v>
      </c>
      <c r="K96">
        <f>IF($F96= "bare", 0, IFERROR(INDEX(carbon!$A$14:$J$48,MATCH("*"&amp;data!$E96&amp;"*",carbon!$A$14:$A$48,0),8), "NA") )</f>
        <v>0.26740000000000003</v>
      </c>
    </row>
    <row r="97" spans="1:11" ht="15">
      <c r="A97" s="1" t="s">
        <v>62</v>
      </c>
      <c r="B97" s="1" t="s">
        <v>64</v>
      </c>
      <c r="C97" s="1" t="s">
        <v>69</v>
      </c>
      <c r="D97" s="2" t="s">
        <v>46</v>
      </c>
      <c r="E97" t="str">
        <f t="shared" si="1"/>
        <v>H_16_B</v>
      </c>
      <c r="F97" s="1" t="s">
        <v>78</v>
      </c>
      <c r="G97" s="3">
        <f>IFERROR(INDEX(biomass!$B$2:$C$61,MATCH(data!D97,biomass!$A$2:$A$61,0),MATCH(data!B97,biomass!$B$1:$C$1,0))*1000,"NA")</f>
        <v>1079</v>
      </c>
      <c r="H97">
        <f>IF($F97= "bare", 0, IFERROR(INDEX(carbon!$A$14:$J$48,MATCH("*"&amp;data!$E97&amp;"*",carbon!$A$14:$A$48,0),2), "NA") )</f>
        <v>71.209999999999994</v>
      </c>
      <c r="I97">
        <f>IF($F97= "bare", 0, IFERROR(INDEX(carbon!$A$14:$J$48,MATCH("*"&amp;data!$E97&amp;"*",carbon!$A$14:$A$48,0),4), "NA") )</f>
        <v>21.72</v>
      </c>
      <c r="J97">
        <f>IF($F97= "bare", 0, IFERROR(INDEX(carbon!$A$14:$J$48,MATCH("*"&amp;data!$E97&amp;"*",carbon!$A$14:$A$48,0),6), "NA") )</f>
        <v>216.83</v>
      </c>
      <c r="K97">
        <f>IF($F97= "bare", 0, IFERROR(INDEX(carbon!$A$14:$J$48,MATCH("*"&amp;data!$E97&amp;"*",carbon!$A$14:$A$48,0),8), "NA") )</f>
        <v>1.012</v>
      </c>
    </row>
    <row r="98" spans="1:11" ht="15">
      <c r="A98" s="1" t="s">
        <v>62</v>
      </c>
      <c r="B98" s="1" t="s">
        <v>64</v>
      </c>
      <c r="C98" s="1" t="s">
        <v>69</v>
      </c>
      <c r="D98" s="2" t="s">
        <v>47</v>
      </c>
      <c r="E98" t="str">
        <f t="shared" si="1"/>
        <v>H_17_B</v>
      </c>
      <c r="F98" s="1" t="s">
        <v>78</v>
      </c>
      <c r="G98" s="3">
        <f>IFERROR(INDEX(biomass!$B$2:$C$61,MATCH(data!D98,biomass!$A$2:$A$61,0),MATCH(data!B98,biomass!$B$1:$C$1,0))*1000,"NA")</f>
        <v>330</v>
      </c>
      <c r="H98">
        <f>IF($F98= "bare", 0, IFERROR(INDEX(carbon!$A$14:$J$48,MATCH("*"&amp;data!$E98&amp;"*",carbon!$A$14:$A$48,0),2), "NA") )</f>
        <v>71.59</v>
      </c>
      <c r="I98">
        <f>IF($F98= "bare", 0, IFERROR(INDEX(carbon!$A$14:$J$48,MATCH("*"&amp;data!$E98&amp;"*",carbon!$A$14:$A$48,0),4), "NA") )</f>
        <v>22.41</v>
      </c>
      <c r="J98">
        <f>IF($F98= "bare", 0, IFERROR(INDEX(carbon!$A$14:$J$48,MATCH("*"&amp;data!$E98&amp;"*",carbon!$A$14:$A$48,0),6), "NA") )</f>
        <v>213.69</v>
      </c>
      <c r="K98">
        <f>IF($F98= "bare", 0, IFERROR(INDEX(carbon!$A$14:$J$48,MATCH("*"&amp;data!$E98&amp;"*",carbon!$A$14:$A$48,0),8), "NA") )</f>
        <v>2.198</v>
      </c>
    </row>
    <row r="99" spans="1:11" ht="15">
      <c r="A99" s="1" t="s">
        <v>62</v>
      </c>
      <c r="B99" s="1" t="s">
        <v>64</v>
      </c>
      <c r="C99" s="1" t="s">
        <v>69</v>
      </c>
      <c r="D99" s="2" t="s">
        <v>48</v>
      </c>
      <c r="E99" t="str">
        <f t="shared" si="1"/>
        <v>H_18_B</v>
      </c>
      <c r="F99" s="1" t="s">
        <v>78</v>
      </c>
      <c r="G99" s="3">
        <f>IFERROR(INDEX(biomass!$B$2:$C$61,MATCH(data!D99,biomass!$A$2:$A$61,0),MATCH(data!B99,biomass!$B$1:$C$1,0))*1000,"NA")</f>
        <v>549</v>
      </c>
      <c r="H99" t="str">
        <f>IF($F99= "bare", 0, IFERROR(INDEX(carbon!$A$14:$J$48,MATCH("*"&amp;data!$E99&amp;"*",carbon!$A$14:$A$48,0),2), "NA") )</f>
        <v>NA</v>
      </c>
      <c r="I99" t="str">
        <f>IF($F99= "bare", 0, IFERROR(INDEX(carbon!$A$14:$J$48,MATCH("*"&amp;data!$E99&amp;"*",carbon!$A$14:$A$48,0),4), "NA") )</f>
        <v>NA</v>
      </c>
      <c r="J99" t="str">
        <f>IF($F99= "bare", 0, IFERROR(INDEX(carbon!$A$14:$J$48,MATCH("*"&amp;data!$E99&amp;"*",carbon!$A$14:$A$48,0),6), "NA") )</f>
        <v>NA</v>
      </c>
      <c r="K99" t="str">
        <f>IF($F99= "bare", 0, IFERROR(INDEX(carbon!$A$14:$J$48,MATCH("*"&amp;data!$E99&amp;"*",carbon!$A$14:$A$48,0),8), "NA") )</f>
        <v>NA</v>
      </c>
    </row>
    <row r="100" spans="1:11" ht="15">
      <c r="A100" s="1" t="s">
        <v>62</v>
      </c>
      <c r="B100" s="1" t="s">
        <v>64</v>
      </c>
      <c r="C100" s="1" t="s">
        <v>69</v>
      </c>
      <c r="D100" s="2" t="s">
        <v>49</v>
      </c>
      <c r="E100" t="str">
        <f t="shared" si="1"/>
        <v>H_19_B</v>
      </c>
      <c r="F100" s="1" t="s">
        <v>78</v>
      </c>
      <c r="G100" s="3">
        <f>IFERROR(INDEX(biomass!$B$2:$C$61,MATCH(data!D100,biomass!$A$2:$A$61,0),MATCH(data!B100,biomass!$B$1:$C$1,0))*1000,"NA")</f>
        <v>490</v>
      </c>
      <c r="H100">
        <f>IF($F100= "bare", 0, IFERROR(INDEX(carbon!$A$14:$J$48,MATCH("*"&amp;data!$E100&amp;"*",carbon!$A$14:$A$48,0),2), "NA") )</f>
        <v>73.31</v>
      </c>
      <c r="I100">
        <f>IF($F100= "bare", 0, IFERROR(INDEX(carbon!$A$14:$J$48,MATCH("*"&amp;data!$E100&amp;"*",carbon!$A$14:$A$48,0),4), "NA") )</f>
        <v>23.24</v>
      </c>
      <c r="J100">
        <f>IF($F100= "bare", 0, IFERROR(INDEX(carbon!$A$14:$J$48,MATCH("*"&amp;data!$E100&amp;"*",carbon!$A$14:$A$48,0),6), "NA") )</f>
        <v>209.75</v>
      </c>
      <c r="K100">
        <f>IF($F100= "bare", 0, IFERROR(INDEX(carbon!$A$14:$J$48,MATCH("*"&amp;data!$E100&amp;"*",carbon!$A$14:$A$48,0),8), "NA") )</f>
        <v>1.0369999999999999</v>
      </c>
    </row>
    <row r="101" spans="1:11" ht="15">
      <c r="A101" s="1" t="s">
        <v>62</v>
      </c>
      <c r="B101" s="1" t="s">
        <v>64</v>
      </c>
      <c r="C101" s="1" t="s">
        <v>69</v>
      </c>
      <c r="D101" s="2" t="s">
        <v>50</v>
      </c>
      <c r="E101" t="str">
        <f t="shared" si="1"/>
        <v>H_20_B</v>
      </c>
      <c r="F101" s="1" t="s">
        <v>78</v>
      </c>
      <c r="G101" s="3">
        <f>IFERROR(INDEX(biomass!$B$2:$C$61,MATCH(data!D101,biomass!$A$2:$A$61,0),MATCH(data!B101,biomass!$B$1:$C$1,0))*1000,"NA")</f>
        <v>1566</v>
      </c>
      <c r="H101" t="str">
        <f>IF($F101= "bare", 0, IFERROR(INDEX(carbon!$A$14:$J$48,MATCH("*"&amp;data!$E101&amp;"*",carbon!$A$14:$A$48,0),2), "NA") )</f>
        <v>NA</v>
      </c>
      <c r="I101" t="str">
        <f>IF($F101= "bare", 0, IFERROR(INDEX(carbon!$A$14:$J$48,MATCH("*"&amp;data!$E101&amp;"*",carbon!$A$14:$A$48,0),4), "NA") )</f>
        <v>NA</v>
      </c>
      <c r="J101" t="str">
        <f>IF($F101= "bare", 0, IFERROR(INDEX(carbon!$A$14:$J$48,MATCH("*"&amp;data!$E101&amp;"*",carbon!$A$14:$A$48,0),6), "NA") )</f>
        <v>NA</v>
      </c>
      <c r="K101" t="str">
        <f>IF($F101= "bare", 0, IFERROR(INDEX(carbon!$A$14:$J$48,MATCH("*"&amp;data!$E101&amp;"*",carbon!$A$14:$A$48,0),8), "NA") )</f>
        <v>NA</v>
      </c>
    </row>
    <row r="102" spans="1:11" ht="15">
      <c r="A102" s="1" t="s">
        <v>62</v>
      </c>
      <c r="B102" s="1" t="s">
        <v>64</v>
      </c>
      <c r="C102" s="1" t="s">
        <v>69</v>
      </c>
      <c r="D102" s="2" t="s">
        <v>51</v>
      </c>
      <c r="E102" t="str">
        <f t="shared" si="1"/>
        <v>H_21_B</v>
      </c>
      <c r="F102" s="1" t="s">
        <v>78</v>
      </c>
      <c r="G102" s="3">
        <f>IFERROR(INDEX(biomass!$B$2:$C$61,MATCH(data!D102,biomass!$A$2:$A$61,0),MATCH(data!B102,biomass!$B$1:$C$1,0))*1000,"NA")</f>
        <v>143</v>
      </c>
      <c r="H102">
        <f>IF($F102= "bare", 0, IFERROR(INDEX(carbon!$A$14:$J$48,MATCH("*"&amp;data!$E102&amp;"*",carbon!$A$14:$A$48,0),2), "NA") )</f>
        <v>73.95</v>
      </c>
      <c r="I102">
        <f>IF($F102= "bare", 0, IFERROR(INDEX(carbon!$A$14:$J$48,MATCH("*"&amp;data!$E102&amp;"*",carbon!$A$14:$A$48,0),4), "NA") )</f>
        <v>19.45</v>
      </c>
      <c r="J102">
        <f>IF($F102= "bare", 0, IFERROR(INDEX(carbon!$A$14:$J$48,MATCH("*"&amp;data!$E102&amp;"*",carbon!$A$14:$A$48,0),6), "NA") )</f>
        <v>225.17</v>
      </c>
      <c r="K102">
        <f>IF($F102= "bare", 0, IFERROR(INDEX(carbon!$A$14:$J$48,MATCH("*"&amp;data!$E102&amp;"*",carbon!$A$14:$A$48,0),8), "NA") )</f>
        <v>0.26740000000000003</v>
      </c>
    </row>
    <row r="103" spans="1:11" ht="15">
      <c r="A103" s="1" t="s">
        <v>62</v>
      </c>
      <c r="B103" s="1" t="s">
        <v>64</v>
      </c>
      <c r="C103" s="1" t="s">
        <v>69</v>
      </c>
      <c r="D103" s="2" t="s">
        <v>52</v>
      </c>
      <c r="E103" t="str">
        <f t="shared" si="1"/>
        <v>H_22_B</v>
      </c>
      <c r="F103" s="1" t="s">
        <v>78</v>
      </c>
      <c r="G103" s="3">
        <f>IFERROR(INDEX(biomass!$B$2:$C$61,MATCH(data!D103,biomass!$A$2:$A$61,0),MATCH(data!B103,biomass!$B$1:$C$1,0))*1000,"NA")</f>
        <v>421</v>
      </c>
      <c r="H103">
        <f>IF($F103= "bare", 0, IFERROR(INDEX(carbon!$A$14:$J$48,MATCH("*"&amp;data!$E103&amp;"*",carbon!$A$14:$A$48,0),2), "NA") )</f>
        <v>73.95</v>
      </c>
      <c r="I103">
        <f>IF($F103= "bare", 0, IFERROR(INDEX(carbon!$A$14:$J$48,MATCH("*"&amp;data!$E103&amp;"*",carbon!$A$14:$A$48,0),4), "NA") )</f>
        <v>19.45</v>
      </c>
      <c r="J103">
        <f>IF($F103= "bare", 0, IFERROR(INDEX(carbon!$A$14:$J$48,MATCH("*"&amp;data!$E103&amp;"*",carbon!$A$14:$A$48,0),6), "NA") )</f>
        <v>225.17</v>
      </c>
      <c r="K103">
        <f>IF($F103= "bare", 0, IFERROR(INDEX(carbon!$A$14:$J$48,MATCH("*"&amp;data!$E103&amp;"*",carbon!$A$14:$A$48,0),8), "NA") )</f>
        <v>0.26740000000000003</v>
      </c>
    </row>
    <row r="104" spans="1:11" ht="15">
      <c r="A104" s="1" t="s">
        <v>62</v>
      </c>
      <c r="B104" s="1" t="s">
        <v>64</v>
      </c>
      <c r="C104" s="1" t="s">
        <v>69</v>
      </c>
      <c r="D104" s="2" t="s">
        <v>53</v>
      </c>
      <c r="E104" t="str">
        <f t="shared" si="1"/>
        <v>H_23_B</v>
      </c>
      <c r="F104" s="1" t="s">
        <v>78</v>
      </c>
      <c r="G104" s="3">
        <f>IFERROR(INDEX(biomass!$B$2:$C$61,MATCH(data!D104,biomass!$A$2:$A$61,0),MATCH(data!B104,biomass!$B$1:$C$1,0))*1000,"NA")</f>
        <v>288</v>
      </c>
      <c r="H104">
        <f>IF($F104= "bare", 0, IFERROR(INDEX(carbon!$A$14:$J$48,MATCH("*"&amp;data!$E104&amp;"*",carbon!$A$14:$A$48,0),2), "NA") )</f>
        <v>70.290000000000006</v>
      </c>
      <c r="I104">
        <f>IF($F104= "bare", 0, IFERROR(INDEX(carbon!$A$14:$J$48,MATCH("*"&amp;data!$E104&amp;"*",carbon!$A$14:$A$48,0),4), "NA") )</f>
        <v>20.53</v>
      </c>
      <c r="J104">
        <f>IF($F104= "bare", 0, IFERROR(INDEX(carbon!$A$14:$J$48,MATCH("*"&amp;data!$E104&amp;"*",carbon!$A$14:$A$48,0),6), "NA") )</f>
        <v>177.55</v>
      </c>
      <c r="K104">
        <f>IF($F104= "bare", 0, IFERROR(INDEX(carbon!$A$14:$J$48,MATCH("*"&amp;data!$E104&amp;"*",carbon!$A$14:$A$48,0),8), "NA") )</f>
        <v>1.4670000000000001</v>
      </c>
    </row>
    <row r="105" spans="1:11" ht="15">
      <c r="A105" s="1" t="s">
        <v>62</v>
      </c>
      <c r="B105" s="1" t="s">
        <v>64</v>
      </c>
      <c r="C105" s="1" t="s">
        <v>69</v>
      </c>
      <c r="D105" s="2" t="s">
        <v>54</v>
      </c>
      <c r="E105" t="str">
        <f t="shared" si="1"/>
        <v>H_24_B</v>
      </c>
      <c r="F105" s="1" t="s">
        <v>78</v>
      </c>
      <c r="G105" s="3">
        <f>IFERROR(INDEX(biomass!$B$2:$C$61,MATCH(data!D105,biomass!$A$2:$A$61,0),MATCH(data!B105,biomass!$B$1:$C$1,0))*1000,"NA")</f>
        <v>382</v>
      </c>
      <c r="H105" t="str">
        <f>IF($F105= "bare", 0, IFERROR(INDEX(carbon!$A$14:$J$48,MATCH("*"&amp;data!$E105&amp;"*",carbon!$A$14:$A$48,0),2), "NA") )</f>
        <v>NA</v>
      </c>
      <c r="I105" t="str">
        <f>IF($F105= "bare", 0, IFERROR(INDEX(carbon!$A$14:$J$48,MATCH("*"&amp;data!$E105&amp;"*",carbon!$A$14:$A$48,0),4), "NA") )</f>
        <v>NA</v>
      </c>
      <c r="J105" t="str">
        <f>IF($F105= "bare", 0, IFERROR(INDEX(carbon!$A$14:$J$48,MATCH("*"&amp;data!$E105&amp;"*",carbon!$A$14:$A$48,0),6), "NA") )</f>
        <v>NA</v>
      </c>
      <c r="K105" t="str">
        <f>IF($F105= "bare", 0, IFERROR(INDEX(carbon!$A$14:$J$48,MATCH("*"&amp;data!$E105&amp;"*",carbon!$A$14:$A$48,0),8), "NA") )</f>
        <v>NA</v>
      </c>
    </row>
    <row r="106" spans="1:11" ht="15">
      <c r="A106" s="1" t="s">
        <v>62</v>
      </c>
      <c r="B106" s="1" t="s">
        <v>64</v>
      </c>
      <c r="C106" s="1" t="s">
        <v>69</v>
      </c>
      <c r="D106" s="2" t="s">
        <v>55</v>
      </c>
      <c r="E106" t="str">
        <f t="shared" si="1"/>
        <v>H_25_B</v>
      </c>
      <c r="F106" s="1" t="s">
        <v>78</v>
      </c>
      <c r="G106" s="3">
        <f>IFERROR(INDEX(biomass!$B$2:$C$61,MATCH(data!D106,biomass!$A$2:$A$61,0),MATCH(data!B106,biomass!$B$1:$C$1,0))*1000,"NA")</f>
        <v>1182</v>
      </c>
      <c r="H106" t="str">
        <f>IF($F106= "bare", 0, IFERROR(INDEX(carbon!$A$14:$J$48,MATCH("*"&amp;data!$E106&amp;"*",carbon!$A$14:$A$48,0),2), "NA") )</f>
        <v>NA</v>
      </c>
      <c r="I106" t="str">
        <f>IF($F106= "bare", 0, IFERROR(INDEX(carbon!$A$14:$J$48,MATCH("*"&amp;data!$E106&amp;"*",carbon!$A$14:$A$48,0),4), "NA") )</f>
        <v>NA</v>
      </c>
      <c r="J106" t="str">
        <f>IF($F106= "bare", 0, IFERROR(INDEX(carbon!$A$14:$J$48,MATCH("*"&amp;data!$E106&amp;"*",carbon!$A$14:$A$48,0),6), "NA") )</f>
        <v>NA</v>
      </c>
      <c r="K106" t="str">
        <f>IF($F106= "bare", 0, IFERROR(INDEX(carbon!$A$14:$J$48,MATCH("*"&amp;data!$E106&amp;"*",carbon!$A$14:$A$48,0),8), "NA") )</f>
        <v>NA</v>
      </c>
    </row>
    <row r="107" spans="1:11" ht="15">
      <c r="A107" s="1" t="s">
        <v>62</v>
      </c>
      <c r="B107" s="1" t="s">
        <v>64</v>
      </c>
      <c r="C107" s="1" t="s">
        <v>69</v>
      </c>
      <c r="D107" s="2" t="s">
        <v>56</v>
      </c>
      <c r="E107" t="str">
        <f t="shared" si="1"/>
        <v>H_26_B</v>
      </c>
      <c r="F107" s="1" t="s">
        <v>78</v>
      </c>
      <c r="G107" s="3">
        <f>IFERROR(INDEX(biomass!$B$2:$C$61,MATCH(data!D107,biomass!$A$2:$A$61,0),MATCH(data!B107,biomass!$B$1:$C$1,0))*1000,"NA")</f>
        <v>128</v>
      </c>
      <c r="H107">
        <f>IF($F107= "bare", 0, IFERROR(INDEX(carbon!$A$14:$J$48,MATCH("*"&amp;data!$E107&amp;"*",carbon!$A$14:$A$48,0),2), "NA") )</f>
        <v>73.95</v>
      </c>
      <c r="I107">
        <f>IF($F107= "bare", 0, IFERROR(INDEX(carbon!$A$14:$J$48,MATCH("*"&amp;data!$E107&amp;"*",carbon!$A$14:$A$48,0),4), "NA") )</f>
        <v>19.45</v>
      </c>
      <c r="J107">
        <f>IF($F107= "bare", 0, IFERROR(INDEX(carbon!$A$14:$J$48,MATCH("*"&amp;data!$E107&amp;"*",carbon!$A$14:$A$48,0),6), "NA") )</f>
        <v>225.17</v>
      </c>
      <c r="K107">
        <f>IF($F107= "bare", 0, IFERROR(INDEX(carbon!$A$14:$J$48,MATCH("*"&amp;data!$E107&amp;"*",carbon!$A$14:$A$48,0),8), "NA") )</f>
        <v>0.26740000000000003</v>
      </c>
    </row>
    <row r="108" spans="1:11" ht="15">
      <c r="A108" s="1" t="s">
        <v>62</v>
      </c>
      <c r="B108" s="1" t="s">
        <v>64</v>
      </c>
      <c r="C108" s="1" t="s">
        <v>69</v>
      </c>
      <c r="D108" s="2" t="s">
        <v>57</v>
      </c>
      <c r="E108" t="str">
        <f t="shared" si="1"/>
        <v>H_27_B</v>
      </c>
      <c r="F108" s="1" t="s">
        <v>78</v>
      </c>
      <c r="G108" s="3">
        <f>IFERROR(INDEX(biomass!$B$2:$C$61,MATCH(data!D108,biomass!$A$2:$A$61,0),MATCH(data!B108,biomass!$B$1:$C$1,0))*1000,"NA")</f>
        <v>934</v>
      </c>
      <c r="H108">
        <f>IF($F108= "bare", 0, IFERROR(INDEX(carbon!$A$14:$J$48,MATCH("*"&amp;data!$E108&amp;"*",carbon!$A$14:$A$48,0),2), "NA") )</f>
        <v>72.09</v>
      </c>
      <c r="I108">
        <f>IF($F108= "bare", 0, IFERROR(INDEX(carbon!$A$14:$J$48,MATCH("*"&amp;data!$E108&amp;"*",carbon!$A$14:$A$48,0),4), "NA") )</f>
        <v>21.26</v>
      </c>
      <c r="J108">
        <f>IF($F108= "bare", 0, IFERROR(INDEX(carbon!$A$14:$J$48,MATCH("*"&amp;data!$E108&amp;"*",carbon!$A$14:$A$48,0),6), "NA") )</f>
        <v>215.55</v>
      </c>
      <c r="K108">
        <f>IF($F108= "bare", 0, IFERROR(INDEX(carbon!$A$14:$J$48,MATCH("*"&amp;data!$E108&amp;"*",carbon!$A$14:$A$48,0),8), "NA") )</f>
        <v>1.216</v>
      </c>
    </row>
    <row r="109" spans="1:11" ht="15">
      <c r="A109" s="1" t="s">
        <v>62</v>
      </c>
      <c r="B109" s="1" t="s">
        <v>64</v>
      </c>
      <c r="C109" s="1" t="s">
        <v>69</v>
      </c>
      <c r="D109" s="2" t="s">
        <v>58</v>
      </c>
      <c r="E109" t="str">
        <f t="shared" si="1"/>
        <v>H_28_B</v>
      </c>
      <c r="F109" s="1" t="s">
        <v>78</v>
      </c>
      <c r="G109" s="3">
        <f>IFERROR(INDEX(biomass!$B$2:$C$61,MATCH(data!D109,biomass!$A$2:$A$61,0),MATCH(data!B109,biomass!$B$1:$C$1,0))*1000,"NA")</f>
        <v>787</v>
      </c>
      <c r="H109" t="str">
        <f>IF($F109= "bare", 0, IFERROR(INDEX(carbon!$A$14:$J$48,MATCH("*"&amp;data!$E109&amp;"*",carbon!$A$14:$A$48,0),2), "NA") )</f>
        <v>NA</v>
      </c>
      <c r="I109" t="str">
        <f>IF($F109= "bare", 0, IFERROR(INDEX(carbon!$A$14:$J$48,MATCH("*"&amp;data!$E109&amp;"*",carbon!$A$14:$A$48,0),4), "NA") )</f>
        <v>NA</v>
      </c>
      <c r="J109" t="str">
        <f>IF($F109= "bare", 0, IFERROR(INDEX(carbon!$A$14:$J$48,MATCH("*"&amp;data!$E109&amp;"*",carbon!$A$14:$A$48,0),6), "NA") )</f>
        <v>NA</v>
      </c>
      <c r="K109" t="str">
        <f>IF($F109= "bare", 0, IFERROR(INDEX(carbon!$A$14:$J$48,MATCH("*"&amp;data!$E109&amp;"*",carbon!$A$14:$A$48,0),8), "NA") )</f>
        <v>NA</v>
      </c>
    </row>
    <row r="110" spans="1:11" ht="15">
      <c r="A110" s="1" t="s">
        <v>62</v>
      </c>
      <c r="B110" s="1" t="s">
        <v>64</v>
      </c>
      <c r="C110" s="1" t="s">
        <v>69</v>
      </c>
      <c r="D110" s="2" t="s">
        <v>59</v>
      </c>
      <c r="E110" t="str">
        <f t="shared" si="1"/>
        <v>H_29_B</v>
      </c>
      <c r="F110" s="1" t="s">
        <v>78</v>
      </c>
      <c r="G110" s="3">
        <f>IFERROR(INDEX(biomass!$B$2:$C$61,MATCH(data!D110,biomass!$A$2:$A$61,0),MATCH(data!B110,biomass!$B$1:$C$1,0))*1000,"NA")</f>
        <v>627</v>
      </c>
      <c r="H110">
        <f>IF($F110= "bare", 0, IFERROR(INDEX(carbon!$A$14:$J$48,MATCH("*"&amp;data!$E110&amp;"*",carbon!$A$14:$A$48,0),2), "NA") )</f>
        <v>77.77</v>
      </c>
      <c r="I110">
        <f>IF($F110= "bare", 0, IFERROR(INDEX(carbon!$A$14:$J$48,MATCH("*"&amp;data!$E110&amp;"*",carbon!$A$14:$A$48,0),4), "NA") )</f>
        <v>24.78</v>
      </c>
      <c r="J110">
        <f>IF($F110= "bare", 0, IFERROR(INDEX(carbon!$A$14:$J$48,MATCH("*"&amp;data!$E110&amp;"*",carbon!$A$14:$A$48,0),6), "NA") )</f>
        <v>207.17</v>
      </c>
      <c r="K110">
        <f>IF($F110= "bare", 0, IFERROR(INDEX(carbon!$A$14:$J$48,MATCH("*"&amp;data!$E110&amp;"*",carbon!$A$14:$A$48,0),8), "NA") )</f>
        <v>0.60340000000000005</v>
      </c>
    </row>
    <row r="111" spans="1:11" ht="15">
      <c r="A111" s="1" t="s">
        <v>62</v>
      </c>
      <c r="B111" s="1" t="s">
        <v>64</v>
      </c>
      <c r="C111" s="1" t="s">
        <v>69</v>
      </c>
      <c r="D111" s="2" t="s">
        <v>60</v>
      </c>
      <c r="E111" t="str">
        <f t="shared" si="1"/>
        <v>H_30_B</v>
      </c>
      <c r="F111" s="1" t="s">
        <v>78</v>
      </c>
      <c r="G111" s="3">
        <f>IFERROR(INDEX(biomass!$B$2:$C$61,MATCH(data!D111,biomass!$A$2:$A$61,0),MATCH(data!B111,biomass!$B$1:$C$1,0))*1000,"NA")</f>
        <v>938.6</v>
      </c>
      <c r="H111" t="str">
        <f>IF($F111= "bare", 0, IFERROR(INDEX(carbon!$A$14:$J$48,MATCH("*"&amp;data!$E111&amp;"*",carbon!$A$14:$A$48,0),2), "NA") )</f>
        <v>NA</v>
      </c>
      <c r="I111" t="str">
        <f>IF($F111= "bare", 0, IFERROR(INDEX(carbon!$A$14:$J$48,MATCH("*"&amp;data!$E111&amp;"*",carbon!$A$14:$A$48,0),4), "NA") )</f>
        <v>NA</v>
      </c>
      <c r="J111" t="str">
        <f>IF($F111= "bare", 0, IFERROR(INDEX(carbon!$A$14:$J$48,MATCH("*"&amp;data!$E111&amp;"*",carbon!$A$14:$A$48,0),6), "NA") )</f>
        <v>NA</v>
      </c>
      <c r="K111" t="str">
        <f>IF($F111= "bare", 0, IFERROR(INDEX(carbon!$A$14:$J$48,MATCH("*"&amp;data!$E111&amp;"*",carbon!$A$14:$A$48,0),8), "NA") )</f>
        <v>NA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61"/>
  <sheetViews>
    <sheetView workbookViewId="0"/>
  </sheetViews>
  <sheetFormatPr defaultColWidth="11" defaultRowHeight="14.25"/>
  <cols>
    <col min="4" max="4" width="12.125" bestFit="1" customWidth="1"/>
    <col min="5" max="5" width="15.875" bestFit="1" customWidth="1"/>
    <col min="6" max="6" width="48.125" bestFit="1" customWidth="1"/>
  </cols>
  <sheetData>
    <row r="1" spans="1:6">
      <c r="A1" t="s">
        <v>0</v>
      </c>
      <c r="B1" t="s">
        <v>63</v>
      </c>
      <c r="C1" t="s">
        <v>64</v>
      </c>
      <c r="D1" s="6" t="s">
        <v>79</v>
      </c>
      <c r="E1" s="6" t="s">
        <v>80</v>
      </c>
      <c r="F1" s="6" t="s">
        <v>81</v>
      </c>
    </row>
    <row r="2" spans="1:6">
      <c r="A2" t="s">
        <v>1</v>
      </c>
      <c r="B2">
        <v>1.181</v>
      </c>
      <c r="C2">
        <v>1.256</v>
      </c>
      <c r="D2" s="6">
        <v>87.28</v>
      </c>
      <c r="E2" s="6">
        <v>0.6</v>
      </c>
      <c r="F2" s="6" t="s">
        <v>82</v>
      </c>
    </row>
    <row r="3" spans="1:6">
      <c r="A3" t="s">
        <v>2</v>
      </c>
      <c r="B3">
        <v>1.175</v>
      </c>
      <c r="C3">
        <v>0.63600000000000001</v>
      </c>
      <c r="D3" s="6">
        <v>96.31</v>
      </c>
      <c r="E3" s="6">
        <v>0.62</v>
      </c>
      <c r="F3" s="7"/>
    </row>
    <row r="4" spans="1:6">
      <c r="A4" t="s">
        <v>3</v>
      </c>
      <c r="B4">
        <v>1.909</v>
      </c>
      <c r="C4">
        <v>0.83199999999999996</v>
      </c>
      <c r="D4" s="6">
        <v>93.52</v>
      </c>
      <c r="E4" s="6">
        <v>0.7</v>
      </c>
      <c r="F4" s="6" t="s">
        <v>83</v>
      </c>
    </row>
    <row r="5" spans="1:6">
      <c r="A5" t="s">
        <v>4</v>
      </c>
      <c r="B5">
        <v>0.89400000000000002</v>
      </c>
      <c r="C5">
        <v>1.121</v>
      </c>
      <c r="D5" s="6">
        <v>73.97</v>
      </c>
      <c r="E5" s="6">
        <v>0.55000000000000004</v>
      </c>
      <c r="F5" s="6" t="s">
        <v>84</v>
      </c>
    </row>
    <row r="6" spans="1:6">
      <c r="A6" t="s">
        <v>5</v>
      </c>
      <c r="B6">
        <v>0.93100000000000005</v>
      </c>
      <c r="C6">
        <v>1.6659999999999999</v>
      </c>
      <c r="D6" s="6">
        <v>82.9</v>
      </c>
      <c r="E6" s="6">
        <v>0.56999999999999995</v>
      </c>
      <c r="F6" s="6" t="s">
        <v>84</v>
      </c>
    </row>
    <row r="7" spans="1:6">
      <c r="A7" t="s">
        <v>6</v>
      </c>
      <c r="B7">
        <v>0.81200000000000006</v>
      </c>
      <c r="C7">
        <v>0.88200000000000001</v>
      </c>
      <c r="D7" s="6">
        <v>82.44</v>
      </c>
      <c r="E7" s="6">
        <v>0.56999999999999995</v>
      </c>
      <c r="F7" s="6" t="s">
        <v>84</v>
      </c>
    </row>
    <row r="8" spans="1:6">
      <c r="A8" t="s">
        <v>7</v>
      </c>
      <c r="B8">
        <v>0.81499999999999995</v>
      </c>
      <c r="C8">
        <v>0.32200000000000001</v>
      </c>
      <c r="D8" s="6">
        <v>69.41</v>
      </c>
      <c r="E8" s="6">
        <v>0.55000000000000004</v>
      </c>
      <c r="F8" s="6" t="s">
        <v>84</v>
      </c>
    </row>
    <row r="9" spans="1:6">
      <c r="A9" t="s">
        <v>8</v>
      </c>
      <c r="B9">
        <v>0.73</v>
      </c>
      <c r="C9">
        <v>0.91300000000000003</v>
      </c>
      <c r="D9" s="6">
        <v>74.459999999999994</v>
      </c>
      <c r="E9" s="6">
        <v>0.55000000000000004</v>
      </c>
      <c r="F9" s="6" t="s">
        <v>84</v>
      </c>
    </row>
    <row r="10" spans="1:6">
      <c r="A10" t="s">
        <v>9</v>
      </c>
      <c r="B10">
        <v>0.80700000000000005</v>
      </c>
      <c r="C10">
        <v>0.42</v>
      </c>
      <c r="D10" s="6">
        <v>58.44</v>
      </c>
      <c r="E10" s="6">
        <v>0.53</v>
      </c>
      <c r="F10" s="6" t="s">
        <v>84</v>
      </c>
    </row>
    <row r="11" spans="1:6">
      <c r="A11" t="s">
        <v>10</v>
      </c>
      <c r="B11">
        <v>1.1040000000000001</v>
      </c>
      <c r="C11">
        <v>0.71699999999999997</v>
      </c>
      <c r="D11" s="6">
        <v>92.84</v>
      </c>
      <c r="E11" s="6">
        <v>0.56999999999999995</v>
      </c>
      <c r="F11" s="6" t="s">
        <v>84</v>
      </c>
    </row>
    <row r="12" spans="1:6">
      <c r="A12" t="s">
        <v>11</v>
      </c>
      <c r="B12">
        <v>1.5029999999999999</v>
      </c>
      <c r="C12">
        <v>1.169</v>
      </c>
      <c r="D12" s="6">
        <v>94.59</v>
      </c>
      <c r="E12" s="6">
        <v>0.6</v>
      </c>
      <c r="F12" s="6" t="s">
        <v>84</v>
      </c>
    </row>
    <row r="13" spans="1:6">
      <c r="A13" t="s">
        <v>12</v>
      </c>
      <c r="B13">
        <v>0.77400000000000002</v>
      </c>
      <c r="C13">
        <v>0.875</v>
      </c>
      <c r="D13" s="6">
        <v>63.13</v>
      </c>
      <c r="E13" s="6">
        <v>0.55000000000000004</v>
      </c>
      <c r="F13" s="6" t="s">
        <v>84</v>
      </c>
    </row>
    <row r="14" spans="1:6">
      <c r="A14" t="s">
        <v>13</v>
      </c>
      <c r="B14">
        <v>0.93500000000000005</v>
      </c>
      <c r="C14">
        <v>1.17</v>
      </c>
      <c r="D14" s="6">
        <v>63.21</v>
      </c>
      <c r="E14" s="6">
        <v>0.55000000000000004</v>
      </c>
      <c r="F14" s="6" t="s">
        <v>84</v>
      </c>
    </row>
    <row r="15" spans="1:6">
      <c r="A15" t="s">
        <v>14</v>
      </c>
      <c r="B15">
        <v>0.88200000000000001</v>
      </c>
      <c r="C15">
        <v>1.0680000000000001</v>
      </c>
      <c r="D15" s="6">
        <v>77.599999999999994</v>
      </c>
      <c r="E15" s="6">
        <v>0.57999999999999996</v>
      </c>
      <c r="F15" s="6" t="s">
        <v>84</v>
      </c>
    </row>
    <row r="16" spans="1:6">
      <c r="A16" t="s">
        <v>15</v>
      </c>
      <c r="B16">
        <v>0.628</v>
      </c>
      <c r="C16" t="s">
        <v>67</v>
      </c>
      <c r="D16" s="6">
        <v>70.92</v>
      </c>
      <c r="E16" s="6">
        <v>0.6</v>
      </c>
      <c r="F16" s="7"/>
    </row>
    <row r="17" spans="1:6">
      <c r="A17" t="s">
        <v>16</v>
      </c>
      <c r="B17">
        <v>0.77100000000000002</v>
      </c>
      <c r="C17">
        <v>0.60899999999999999</v>
      </c>
      <c r="D17" s="6">
        <v>39.630000000000003</v>
      </c>
      <c r="E17" s="6">
        <v>0.5</v>
      </c>
      <c r="F17" s="6" t="s">
        <v>83</v>
      </c>
    </row>
    <row r="18" spans="1:6">
      <c r="A18" t="s">
        <v>17</v>
      </c>
      <c r="B18">
        <v>0.626</v>
      </c>
      <c r="C18">
        <v>0.77400000000000002</v>
      </c>
      <c r="D18" s="6">
        <v>41.81</v>
      </c>
      <c r="E18" s="6">
        <v>0.5</v>
      </c>
      <c r="F18" s="6" t="s">
        <v>83</v>
      </c>
    </row>
    <row r="19" spans="1:6">
      <c r="A19" t="s">
        <v>18</v>
      </c>
      <c r="B19">
        <v>1.4590000000000001</v>
      </c>
      <c r="C19">
        <v>1.2589999999999999</v>
      </c>
      <c r="D19" s="6">
        <v>43.51</v>
      </c>
      <c r="E19" s="6">
        <v>0.53</v>
      </c>
      <c r="F19" s="6" t="s">
        <v>83</v>
      </c>
    </row>
    <row r="20" spans="1:6">
      <c r="A20" t="s">
        <v>19</v>
      </c>
      <c r="B20">
        <v>0.69099999999999995</v>
      </c>
      <c r="C20">
        <v>0.309</v>
      </c>
      <c r="D20" s="6">
        <v>42.66</v>
      </c>
      <c r="E20" s="6">
        <v>0.52</v>
      </c>
      <c r="F20" s="6" t="s">
        <v>85</v>
      </c>
    </row>
    <row r="21" spans="1:6">
      <c r="A21" t="s">
        <v>20</v>
      </c>
      <c r="B21">
        <v>5.8000000000000003E-2</v>
      </c>
      <c r="C21">
        <v>0.108</v>
      </c>
      <c r="D21" s="6">
        <v>4.96</v>
      </c>
      <c r="E21" s="6">
        <v>0.4</v>
      </c>
      <c r="F21" s="6" t="s">
        <v>83</v>
      </c>
    </row>
    <row r="22" spans="1:6">
      <c r="A22" t="s">
        <v>21</v>
      </c>
      <c r="B22">
        <v>0.71799999999999997</v>
      </c>
      <c r="C22">
        <v>1.0960000000000001</v>
      </c>
      <c r="D22" s="6">
        <v>50.31</v>
      </c>
      <c r="E22" s="6">
        <v>0.54</v>
      </c>
      <c r="F22" s="6" t="s">
        <v>83</v>
      </c>
    </row>
    <row r="23" spans="1:6">
      <c r="A23" t="s">
        <v>22</v>
      </c>
      <c r="B23">
        <v>0.248</v>
      </c>
      <c r="C23">
        <v>0.51200000000000001</v>
      </c>
      <c r="D23" s="6">
        <v>36.43</v>
      </c>
      <c r="E23" s="6">
        <v>0.6</v>
      </c>
      <c r="F23" s="6" t="s">
        <v>86</v>
      </c>
    </row>
    <row r="24" spans="1:6">
      <c r="A24" t="s">
        <v>23</v>
      </c>
      <c r="B24">
        <v>0.249</v>
      </c>
      <c r="C24">
        <v>0.54700000000000004</v>
      </c>
      <c r="D24" s="6">
        <v>51.57</v>
      </c>
      <c r="E24" s="6">
        <v>0.55000000000000004</v>
      </c>
      <c r="F24" s="6" t="s">
        <v>83</v>
      </c>
    </row>
    <row r="25" spans="1:6">
      <c r="A25" t="s">
        <v>24</v>
      </c>
      <c r="B25">
        <v>0.32700000000000001</v>
      </c>
      <c r="C25">
        <v>0.32600000000000001</v>
      </c>
      <c r="D25" s="6">
        <v>26.2</v>
      </c>
      <c r="E25" s="6">
        <v>0.51</v>
      </c>
      <c r="F25" s="6" t="s">
        <v>87</v>
      </c>
    </row>
    <row r="26" spans="1:6">
      <c r="A26" t="s">
        <v>25</v>
      </c>
      <c r="B26">
        <v>0.15</v>
      </c>
      <c r="C26">
        <v>0.22900000000000001</v>
      </c>
      <c r="D26" s="6">
        <v>31.2</v>
      </c>
      <c r="E26" s="6">
        <v>0.63</v>
      </c>
      <c r="F26" s="6" t="s">
        <v>88</v>
      </c>
    </row>
    <row r="27" spans="1:6">
      <c r="A27" t="s">
        <v>26</v>
      </c>
      <c r="B27" t="s">
        <v>67</v>
      </c>
      <c r="C27" t="s">
        <v>67</v>
      </c>
      <c r="D27" s="6">
        <v>34.67</v>
      </c>
      <c r="E27" s="6">
        <v>0.57999999999999996</v>
      </c>
      <c r="F27" s="6" t="s">
        <v>88</v>
      </c>
    </row>
    <row r="28" spans="1:6">
      <c r="A28" t="s">
        <v>27</v>
      </c>
      <c r="B28">
        <v>0</v>
      </c>
      <c r="C28">
        <v>0</v>
      </c>
      <c r="D28" s="6">
        <v>0</v>
      </c>
      <c r="E28" s="6" t="s">
        <v>89</v>
      </c>
      <c r="F28" s="6" t="s">
        <v>90</v>
      </c>
    </row>
    <row r="29" spans="1:6">
      <c r="A29" t="s">
        <v>28</v>
      </c>
      <c r="B29">
        <v>0</v>
      </c>
      <c r="C29">
        <v>0</v>
      </c>
      <c r="D29" s="6">
        <v>0.11</v>
      </c>
      <c r="E29" s="6">
        <v>0.32</v>
      </c>
      <c r="F29" s="7"/>
    </row>
    <row r="30" spans="1:6">
      <c r="A30" t="s">
        <v>29</v>
      </c>
      <c r="B30">
        <v>0</v>
      </c>
      <c r="C30">
        <v>0</v>
      </c>
      <c r="D30" s="6">
        <v>0</v>
      </c>
      <c r="E30" s="6" t="s">
        <v>89</v>
      </c>
      <c r="F30" s="6" t="s">
        <v>91</v>
      </c>
    </row>
    <row r="31" spans="1:6">
      <c r="A31" t="s">
        <v>30</v>
      </c>
      <c r="B31">
        <v>0</v>
      </c>
      <c r="C31">
        <v>0</v>
      </c>
      <c r="D31" s="6">
        <v>0.35</v>
      </c>
      <c r="E31" s="6">
        <v>0.45</v>
      </c>
      <c r="F31" s="6" t="s">
        <v>83</v>
      </c>
    </row>
    <row r="32" spans="1:6">
      <c r="A32" t="s">
        <v>31</v>
      </c>
      <c r="B32">
        <v>1.4950000000000001</v>
      </c>
      <c r="C32">
        <v>0.91600000000000004</v>
      </c>
      <c r="D32" s="6">
        <v>92.54</v>
      </c>
      <c r="E32" s="6">
        <v>0.63</v>
      </c>
      <c r="F32" s="7"/>
    </row>
    <row r="33" spans="1:6">
      <c r="A33" t="s">
        <v>32</v>
      </c>
      <c r="B33">
        <v>1.657</v>
      </c>
      <c r="C33">
        <v>1.845</v>
      </c>
      <c r="D33" s="6">
        <v>97.31</v>
      </c>
      <c r="E33" s="6">
        <v>0.75</v>
      </c>
      <c r="F33" s="7"/>
    </row>
    <row r="34" spans="1:6">
      <c r="A34" t="s">
        <v>33</v>
      </c>
      <c r="B34">
        <f>1.86-0.004-0.0096</f>
        <v>1.8464</v>
      </c>
      <c r="C34">
        <v>1.748</v>
      </c>
      <c r="D34" s="6">
        <v>94.05</v>
      </c>
      <c r="E34" s="6">
        <v>0.7</v>
      </c>
      <c r="F34" s="7"/>
    </row>
    <row r="35" spans="1:6">
      <c r="A35" t="s">
        <v>34</v>
      </c>
      <c r="B35">
        <v>0.151</v>
      </c>
      <c r="C35">
        <v>0.32100000000000001</v>
      </c>
      <c r="D35" s="6">
        <v>37.909999999999997</v>
      </c>
      <c r="E35" s="6">
        <v>0.48</v>
      </c>
      <c r="F35" s="7"/>
    </row>
    <row r="36" spans="1:6">
      <c r="A36" t="s">
        <v>35</v>
      </c>
      <c r="B36">
        <v>0.91600000000000004</v>
      </c>
      <c r="C36">
        <f>1.369-0.0038</f>
        <v>1.3652</v>
      </c>
      <c r="D36" s="6">
        <v>49.4</v>
      </c>
      <c r="E36" s="6">
        <v>0.48</v>
      </c>
      <c r="F36" s="7"/>
    </row>
    <row r="37" spans="1:6">
      <c r="A37" t="s">
        <v>36</v>
      </c>
      <c r="B37">
        <v>1.4470000000000001</v>
      </c>
      <c r="C37">
        <v>1.4570000000000001</v>
      </c>
      <c r="D37" s="6">
        <v>97.13</v>
      </c>
      <c r="E37" s="6">
        <v>0.74</v>
      </c>
      <c r="F37" s="7"/>
    </row>
    <row r="38" spans="1:6">
      <c r="A38" t="s">
        <v>37</v>
      </c>
      <c r="B38">
        <v>1.2869999999999999</v>
      </c>
      <c r="C38">
        <v>0.98699999999999999</v>
      </c>
      <c r="D38" s="6">
        <v>94.22</v>
      </c>
      <c r="E38" s="6">
        <v>0.65</v>
      </c>
      <c r="F38" s="7"/>
    </row>
    <row r="39" spans="1:6">
      <c r="A39" t="s">
        <v>38</v>
      </c>
      <c r="B39">
        <v>1.44</v>
      </c>
      <c r="C39">
        <v>1.339</v>
      </c>
      <c r="D39" s="6">
        <v>73.069999999999993</v>
      </c>
      <c r="E39" s="6">
        <v>0.6</v>
      </c>
      <c r="F39" s="7"/>
    </row>
    <row r="40" spans="1:6">
      <c r="A40" t="s">
        <v>39</v>
      </c>
      <c r="B40">
        <v>1.766</v>
      </c>
      <c r="C40">
        <v>0.76200000000000001</v>
      </c>
      <c r="D40" s="6">
        <v>93.31</v>
      </c>
      <c r="E40" s="6">
        <v>0.68</v>
      </c>
      <c r="F40" s="7"/>
    </row>
    <row r="41" spans="1:6">
      <c r="A41" t="s">
        <v>40</v>
      </c>
      <c r="B41">
        <v>0.64100000000000001</v>
      </c>
      <c r="C41">
        <v>0.626</v>
      </c>
      <c r="D41" s="6">
        <v>59.12</v>
      </c>
      <c r="E41" s="6">
        <v>0.5</v>
      </c>
      <c r="F41" s="6" t="s">
        <v>83</v>
      </c>
    </row>
    <row r="42" spans="1:6">
      <c r="A42" t="s">
        <v>41</v>
      </c>
      <c r="B42">
        <f>0.804-0.001</f>
        <v>0.80300000000000005</v>
      </c>
      <c r="C42">
        <v>0.53700000000000003</v>
      </c>
      <c r="D42" s="6">
        <v>46.49</v>
      </c>
      <c r="E42" s="6">
        <v>0.43</v>
      </c>
      <c r="F42" s="7"/>
    </row>
    <row r="43" spans="1:6">
      <c r="A43" t="s">
        <v>42</v>
      </c>
      <c r="B43">
        <v>0.86299999999999999</v>
      </c>
      <c r="C43">
        <f>0.97-0.02</f>
        <v>0.95</v>
      </c>
      <c r="D43" s="6">
        <v>44.83</v>
      </c>
      <c r="E43" s="6">
        <v>0.43</v>
      </c>
      <c r="F43" s="7"/>
    </row>
    <row r="44" spans="1:6">
      <c r="A44" t="s">
        <v>43</v>
      </c>
      <c r="B44">
        <f>1.411-0.026</f>
        <v>1.385</v>
      </c>
      <c r="C44">
        <f>1.781-0.078</f>
        <v>1.7029999999999998</v>
      </c>
      <c r="D44" s="6">
        <v>94.77</v>
      </c>
      <c r="E44" s="6">
        <v>0.7</v>
      </c>
      <c r="F44" s="7"/>
    </row>
    <row r="45" spans="1:6">
      <c r="A45" t="s">
        <v>44</v>
      </c>
      <c r="B45">
        <f>1.845-0.004</f>
        <v>1.841</v>
      </c>
      <c r="C45">
        <f>0.937-0.015</f>
        <v>0.92200000000000004</v>
      </c>
      <c r="D45" s="6">
        <v>94.28</v>
      </c>
      <c r="E45" s="6">
        <v>0.65</v>
      </c>
      <c r="F45" s="7"/>
    </row>
    <row r="46" spans="1:6">
      <c r="A46" t="s">
        <v>45</v>
      </c>
      <c r="B46">
        <v>0.41799999999999998</v>
      </c>
      <c r="C46">
        <v>0.20200000000000001</v>
      </c>
      <c r="D46" s="6">
        <v>45.33</v>
      </c>
      <c r="E46" s="6">
        <v>0.45</v>
      </c>
      <c r="F46" s="7"/>
    </row>
    <row r="47" spans="1:6">
      <c r="A47" t="s">
        <v>46</v>
      </c>
      <c r="B47">
        <v>1.365</v>
      </c>
      <c r="C47">
        <v>1.079</v>
      </c>
      <c r="D47" s="6">
        <v>67.400000000000006</v>
      </c>
      <c r="E47" s="6">
        <v>0.5</v>
      </c>
      <c r="F47" s="6" t="s">
        <v>92</v>
      </c>
    </row>
    <row r="48" spans="1:6">
      <c r="A48" t="s">
        <v>47</v>
      </c>
      <c r="B48">
        <v>1.379</v>
      </c>
      <c r="C48">
        <v>0.33</v>
      </c>
      <c r="D48" s="6">
        <v>63.23</v>
      </c>
      <c r="E48" s="6">
        <v>0.51</v>
      </c>
      <c r="F48" s="6" t="s">
        <v>92</v>
      </c>
    </row>
    <row r="49" spans="1:6">
      <c r="A49" t="s">
        <v>48</v>
      </c>
      <c r="B49">
        <v>0.60499999999999998</v>
      </c>
      <c r="C49">
        <v>0.54900000000000004</v>
      </c>
      <c r="D49" s="6">
        <v>46.75</v>
      </c>
      <c r="E49" s="6">
        <v>0.5</v>
      </c>
      <c r="F49" s="6" t="s">
        <v>83</v>
      </c>
    </row>
    <row r="50" spans="1:6">
      <c r="A50" t="s">
        <v>49</v>
      </c>
      <c r="B50">
        <v>0.64</v>
      </c>
      <c r="C50">
        <v>0.49</v>
      </c>
      <c r="D50" s="6">
        <v>49.18</v>
      </c>
      <c r="E50" s="6">
        <v>0.5</v>
      </c>
      <c r="F50" s="6" t="s">
        <v>83</v>
      </c>
    </row>
    <row r="51" spans="1:6">
      <c r="A51" t="s">
        <v>50</v>
      </c>
      <c r="B51">
        <f>2.372-0.058</f>
        <v>2.3140000000000001</v>
      </c>
      <c r="C51">
        <f>1.629-0.048-0.011-0.004</f>
        <v>1.5660000000000001</v>
      </c>
      <c r="D51" s="6">
        <v>94.3</v>
      </c>
      <c r="E51" s="6">
        <v>0.61</v>
      </c>
      <c r="F51" s="7"/>
    </row>
    <row r="52" spans="1:6">
      <c r="A52" t="s">
        <v>51</v>
      </c>
      <c r="B52">
        <v>0.46200000000000002</v>
      </c>
      <c r="C52">
        <v>0.14299999999999999</v>
      </c>
      <c r="D52" s="6">
        <v>24.83</v>
      </c>
      <c r="E52" s="6">
        <v>0.44</v>
      </c>
      <c r="F52" s="7"/>
    </row>
    <row r="53" spans="1:6">
      <c r="A53" t="s">
        <v>52</v>
      </c>
      <c r="B53">
        <v>0.22900000000000001</v>
      </c>
      <c r="C53">
        <v>0.42099999999999999</v>
      </c>
      <c r="D53" s="6">
        <v>31.7</v>
      </c>
      <c r="E53" s="6">
        <v>0.49</v>
      </c>
      <c r="F53" s="7"/>
    </row>
    <row r="54" spans="1:6">
      <c r="A54" t="s">
        <v>53</v>
      </c>
      <c r="B54">
        <v>0.76600000000000001</v>
      </c>
      <c r="C54">
        <f>0.294-0.006</f>
        <v>0.28799999999999998</v>
      </c>
      <c r="D54" s="6">
        <v>64.010000000000005</v>
      </c>
      <c r="E54" s="6">
        <v>0.53</v>
      </c>
      <c r="F54" s="7"/>
    </row>
    <row r="55" spans="1:6">
      <c r="A55" t="s">
        <v>54</v>
      </c>
      <c r="B55">
        <v>1.139</v>
      </c>
      <c r="C55">
        <v>0.38200000000000001</v>
      </c>
      <c r="D55" s="6">
        <v>72.98</v>
      </c>
      <c r="E55" s="6">
        <v>0.57999999999999996</v>
      </c>
      <c r="F55" s="7"/>
    </row>
    <row r="56" spans="1:6">
      <c r="A56" t="s">
        <v>55</v>
      </c>
      <c r="B56">
        <v>1.879</v>
      </c>
      <c r="C56">
        <v>1.1819999999999999</v>
      </c>
      <c r="D56" s="6">
        <v>83.55</v>
      </c>
      <c r="E56" s="6">
        <v>0.57999999999999996</v>
      </c>
      <c r="F56" s="7"/>
    </row>
    <row r="57" spans="1:6">
      <c r="A57" t="s">
        <v>56</v>
      </c>
      <c r="B57">
        <v>0.36499999999999999</v>
      </c>
      <c r="C57">
        <v>0.128</v>
      </c>
      <c r="D57" s="6">
        <v>57.09</v>
      </c>
      <c r="E57" s="6">
        <v>0.56999999999999995</v>
      </c>
      <c r="F57" s="6" t="s">
        <v>83</v>
      </c>
    </row>
    <row r="58" spans="1:6">
      <c r="A58" t="s">
        <v>57</v>
      </c>
      <c r="B58">
        <v>1.29</v>
      </c>
      <c r="C58">
        <v>0.93400000000000005</v>
      </c>
      <c r="D58" s="6">
        <v>79.06</v>
      </c>
      <c r="E58" s="6">
        <v>0.57999999999999996</v>
      </c>
      <c r="F58" s="6" t="s">
        <v>83</v>
      </c>
    </row>
    <row r="59" spans="1:6">
      <c r="A59" t="s">
        <v>58</v>
      </c>
      <c r="B59">
        <v>0.76800000000000002</v>
      </c>
      <c r="C59">
        <v>0.78700000000000003</v>
      </c>
      <c r="D59" s="6">
        <v>69.34</v>
      </c>
      <c r="E59" s="6">
        <v>0.6</v>
      </c>
      <c r="F59" s="7"/>
    </row>
    <row r="60" spans="1:6">
      <c r="A60" t="s">
        <v>59</v>
      </c>
      <c r="B60">
        <v>1.024</v>
      </c>
      <c r="C60">
        <v>0.627</v>
      </c>
      <c r="D60" s="6">
        <v>59.49</v>
      </c>
      <c r="E60" s="6">
        <v>0.55000000000000004</v>
      </c>
      <c r="F60" s="7"/>
    </row>
    <row r="61" spans="1:6">
      <c r="A61" t="s">
        <v>60</v>
      </c>
      <c r="B61">
        <v>1.2170000000000001</v>
      </c>
      <c r="C61">
        <f>0.951-0.0124</f>
        <v>0.93859999999999999</v>
      </c>
      <c r="D61" s="6">
        <v>84.86</v>
      </c>
      <c r="E61" s="6">
        <v>0.65</v>
      </c>
      <c r="F61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Normal="100" workbookViewId="0">
      <selection activeCell="A9" sqref="A9"/>
    </sheetView>
  </sheetViews>
  <sheetFormatPr defaultColWidth="10" defaultRowHeight="12"/>
  <cols>
    <col min="1" max="1" width="27.5" style="11" bestFit="1" customWidth="1"/>
    <col min="2" max="4" width="14" style="11" customWidth="1"/>
    <col min="5" max="5" width="17.625" style="11" customWidth="1"/>
    <col min="6" max="9" width="14" style="11" customWidth="1"/>
    <col min="10" max="10" width="17.625" style="11" customWidth="1"/>
    <col min="11" max="16384" width="10" style="11"/>
  </cols>
  <sheetData>
    <row r="1" spans="1:10" ht="19.5" customHeight="1">
      <c r="A1" s="8"/>
      <c r="B1" s="8"/>
      <c r="C1" s="8"/>
      <c r="D1" s="9" t="s">
        <v>93</v>
      </c>
      <c r="E1" s="9"/>
      <c r="F1" s="9"/>
      <c r="G1" s="9"/>
      <c r="H1" s="9"/>
      <c r="I1" s="9"/>
      <c r="J1" s="10"/>
    </row>
    <row r="2" spans="1:10" ht="19.5" customHeight="1">
      <c r="A2" s="8"/>
      <c r="B2" s="8"/>
      <c r="C2" s="8"/>
      <c r="D2" s="9" t="s">
        <v>94</v>
      </c>
      <c r="E2" s="9"/>
      <c r="F2" s="9"/>
      <c r="G2" s="9"/>
      <c r="H2" s="9"/>
      <c r="I2" s="9"/>
      <c r="J2" s="10"/>
    </row>
    <row r="3" spans="1:10" ht="24.75" customHeight="1">
      <c r="A3" s="8"/>
      <c r="B3" s="8"/>
      <c r="C3" s="8"/>
      <c r="D3" s="12" t="s">
        <v>95</v>
      </c>
      <c r="E3" s="12"/>
      <c r="F3" s="12"/>
      <c r="G3" s="12"/>
      <c r="H3" s="12"/>
      <c r="I3" s="12"/>
      <c r="J3" s="10"/>
    </row>
    <row r="5" spans="1:10" ht="18" customHeight="1">
      <c r="A5" s="13" t="s">
        <v>96</v>
      </c>
      <c r="B5" s="13"/>
      <c r="C5" s="14"/>
      <c r="D5" s="14"/>
    </row>
    <row r="6" spans="1:10" ht="18" customHeight="1">
      <c r="A6" s="13" t="s">
        <v>97</v>
      </c>
      <c r="B6" s="13"/>
      <c r="C6" s="15"/>
      <c r="D6" s="15"/>
    </row>
    <row r="7" spans="1:10" ht="18" customHeight="1">
      <c r="A7" s="13" t="s">
        <v>98</v>
      </c>
      <c r="B7" s="13"/>
      <c r="C7" s="14"/>
      <c r="D7" s="14"/>
    </row>
    <row r="8" spans="1:10" ht="18" customHeight="1">
      <c r="A8" s="13" t="s">
        <v>99</v>
      </c>
      <c r="B8" s="13"/>
      <c r="C8" s="16"/>
      <c r="D8" s="16"/>
    </row>
    <row r="9" spans="1:10" ht="19.5" customHeight="1">
      <c r="A9" s="17"/>
      <c r="B9" s="17"/>
      <c r="C9" s="17"/>
      <c r="D9" s="17"/>
      <c r="E9" s="17"/>
      <c r="F9" s="17"/>
      <c r="G9" s="17"/>
    </row>
    <row r="10" spans="1:10" ht="19.5" customHeight="1">
      <c r="A10" s="18"/>
      <c r="B10" s="19" t="s">
        <v>100</v>
      </c>
      <c r="C10" s="19"/>
      <c r="D10" s="19"/>
      <c r="E10" s="19"/>
      <c r="F10" s="19" t="s">
        <v>101</v>
      </c>
      <c r="G10" s="19"/>
      <c r="H10" s="19"/>
      <c r="I10" s="19"/>
    </row>
    <row r="11" spans="1:10" ht="19.5" customHeight="1">
      <c r="A11" s="20" t="s">
        <v>102</v>
      </c>
      <c r="B11" s="21" t="s">
        <v>103</v>
      </c>
      <c r="C11" s="22" t="s">
        <v>104</v>
      </c>
      <c r="D11" s="23" t="s">
        <v>105</v>
      </c>
      <c r="E11" s="22" t="s">
        <v>106</v>
      </c>
      <c r="F11" s="23" t="s">
        <v>107</v>
      </c>
      <c r="G11" s="22" t="s">
        <v>104</v>
      </c>
      <c r="H11" s="22" t="s">
        <v>108</v>
      </c>
      <c r="I11" s="22" t="s">
        <v>109</v>
      </c>
      <c r="J11" s="22" t="s">
        <v>110</v>
      </c>
    </row>
    <row r="12" spans="1:10" ht="19.5" customHeight="1">
      <c r="A12" s="20"/>
      <c r="B12" s="21"/>
      <c r="C12" s="22"/>
      <c r="D12" s="23"/>
      <c r="E12" s="22"/>
      <c r="F12" s="23"/>
      <c r="G12" s="22"/>
      <c r="H12" s="22"/>
      <c r="I12" s="22"/>
      <c r="J12" s="22"/>
    </row>
    <row r="13" spans="1:10" ht="14.25" customHeight="1">
      <c r="A13" s="24"/>
      <c r="B13" s="25"/>
      <c r="C13" s="26"/>
      <c r="D13" s="27"/>
      <c r="E13" s="28" t="s">
        <v>89</v>
      </c>
      <c r="F13" s="29"/>
      <c r="G13" s="26"/>
      <c r="H13" s="30"/>
      <c r="I13" s="31" t="s">
        <v>89</v>
      </c>
      <c r="J13" s="28" t="s">
        <v>89</v>
      </c>
    </row>
    <row r="14" spans="1:10" ht="14.25" customHeight="1">
      <c r="A14" s="32" t="s">
        <v>143</v>
      </c>
      <c r="B14" s="33">
        <v>73.64</v>
      </c>
      <c r="C14" s="34">
        <v>1</v>
      </c>
      <c r="D14" s="35">
        <v>21.93</v>
      </c>
      <c r="E14" s="36">
        <f t="shared" ref="E14:E56" si="0">(D14*1000/B14)*C14</f>
        <v>297.80010863661056</v>
      </c>
      <c r="F14" s="37">
        <v>147.38999999999999</v>
      </c>
      <c r="G14" s="34">
        <v>1</v>
      </c>
      <c r="H14" s="38">
        <v>1.2350000000000001</v>
      </c>
      <c r="I14" s="39">
        <f t="shared" ref="I14" si="1">(H14*1000/F14)*G14</f>
        <v>8.3791301987923212</v>
      </c>
      <c r="J14" s="36">
        <f t="shared" ref="J14" si="2">E14-I14</f>
        <v>289.42097843781823</v>
      </c>
    </row>
    <row r="15" spans="1:10" ht="14.25" customHeight="1">
      <c r="A15" s="32" t="s">
        <v>111</v>
      </c>
      <c r="B15" s="33">
        <v>74.989999999999995</v>
      </c>
      <c r="C15" s="34">
        <v>1</v>
      </c>
      <c r="D15" s="35">
        <v>23.34</v>
      </c>
      <c r="E15" s="36">
        <f t="shared" si="0"/>
        <v>311.24149886651554</v>
      </c>
      <c r="F15" s="37">
        <v>200.48</v>
      </c>
      <c r="G15" s="34">
        <v>1</v>
      </c>
      <c r="H15" s="38">
        <v>0.97789999999999999</v>
      </c>
      <c r="I15" s="39">
        <f t="shared" ref="I15" si="3">(H15*1000/F15)*G15</f>
        <v>4.8777932960893855</v>
      </c>
      <c r="J15" s="36">
        <f t="shared" ref="J15" si="4">E15-I15</f>
        <v>306.36370557042613</v>
      </c>
    </row>
    <row r="16" spans="1:10" ht="14.25" customHeight="1">
      <c r="A16" s="32" t="s">
        <v>112</v>
      </c>
      <c r="B16" s="33">
        <v>79.02</v>
      </c>
      <c r="C16" s="34">
        <v>1</v>
      </c>
      <c r="D16" s="35">
        <v>24.62</v>
      </c>
      <c r="E16" s="36">
        <f t="shared" si="0"/>
        <v>311.56669197671476</v>
      </c>
      <c r="F16" s="37">
        <v>205.94</v>
      </c>
      <c r="G16" s="34">
        <v>1</v>
      </c>
      <c r="H16" s="38">
        <v>1.3120000000000001</v>
      </c>
      <c r="I16" s="39">
        <f t="shared" ref="I16" si="5">(H16*1000/F16)*G16</f>
        <v>6.3707876080411774</v>
      </c>
      <c r="J16" s="36">
        <f t="shared" ref="J16" si="6">E16-I16</f>
        <v>305.19590436867361</v>
      </c>
    </row>
    <row r="17" spans="1:10" ht="14.25" customHeight="1">
      <c r="A17" s="32"/>
      <c r="B17" s="33"/>
      <c r="C17" s="34"/>
      <c r="D17" s="35"/>
      <c r="E17" s="36"/>
      <c r="F17" s="37"/>
      <c r="G17" s="34"/>
      <c r="H17" s="38"/>
      <c r="I17" s="39"/>
      <c r="J17" s="36"/>
    </row>
    <row r="18" spans="1:10" ht="14.25" customHeight="1">
      <c r="A18" s="32" t="s">
        <v>144</v>
      </c>
      <c r="B18" s="33">
        <v>73.95</v>
      </c>
      <c r="C18" s="34">
        <v>1</v>
      </c>
      <c r="D18" s="35">
        <v>19.45</v>
      </c>
      <c r="E18" s="36">
        <f t="shared" si="0"/>
        <v>263.01555104800542</v>
      </c>
      <c r="F18" s="37">
        <v>225.17</v>
      </c>
      <c r="G18" s="34">
        <v>1</v>
      </c>
      <c r="H18" s="38">
        <v>0.26740000000000003</v>
      </c>
      <c r="I18" s="39">
        <f t="shared" ref="I18:I20" si="7">(H18*1000/F18)*G18</f>
        <v>1.1875471865701472</v>
      </c>
      <c r="J18" s="36">
        <f t="shared" ref="J18:J20" si="8">E18-I18</f>
        <v>261.82800386143526</v>
      </c>
    </row>
    <row r="19" spans="1:10" ht="14.25" customHeight="1">
      <c r="A19" s="32" t="s">
        <v>113</v>
      </c>
      <c r="B19" s="33">
        <v>71.16</v>
      </c>
      <c r="C19" s="34">
        <v>1</v>
      </c>
      <c r="D19" s="35">
        <v>19.61</v>
      </c>
      <c r="E19" s="36">
        <f t="shared" si="0"/>
        <v>275.57616638560989</v>
      </c>
      <c r="F19" s="37">
        <v>212.83</v>
      </c>
      <c r="G19" s="34">
        <v>1</v>
      </c>
      <c r="H19" s="38">
        <v>0.80649999999999999</v>
      </c>
      <c r="I19" s="39">
        <f t="shared" si="7"/>
        <v>3.7894093877742798</v>
      </c>
      <c r="J19" s="36">
        <f t="shared" si="8"/>
        <v>271.7867569978356</v>
      </c>
    </row>
    <row r="20" spans="1:10" ht="14.25" customHeight="1">
      <c r="A20" s="32" t="s">
        <v>114</v>
      </c>
      <c r="B20" s="33">
        <v>76.31</v>
      </c>
      <c r="C20" s="34">
        <v>1</v>
      </c>
      <c r="D20" s="35">
        <v>21.1</v>
      </c>
      <c r="E20" s="36">
        <f t="shared" si="0"/>
        <v>276.5037347660857</v>
      </c>
      <c r="F20" s="37">
        <v>225.05</v>
      </c>
      <c r="G20" s="34">
        <v>1</v>
      </c>
      <c r="H20" s="38">
        <v>0.35010000000000002</v>
      </c>
      <c r="I20" s="39">
        <f t="shared" si="7"/>
        <v>1.5556542990446567</v>
      </c>
      <c r="J20" s="36">
        <f t="shared" si="8"/>
        <v>274.94808046704105</v>
      </c>
    </row>
    <row r="21" spans="1:10" ht="14.25" customHeight="1">
      <c r="A21" s="32"/>
      <c r="B21" s="33"/>
      <c r="C21" s="34"/>
      <c r="D21" s="35"/>
      <c r="E21" s="36"/>
      <c r="F21" s="37"/>
      <c r="G21" s="34"/>
      <c r="H21" s="38"/>
      <c r="I21" s="39"/>
      <c r="J21" s="36"/>
    </row>
    <row r="22" spans="1:10" ht="14.25" customHeight="1">
      <c r="A22" s="32" t="s">
        <v>115</v>
      </c>
      <c r="B22" s="33">
        <v>72.75</v>
      </c>
      <c r="C22" s="34">
        <v>1</v>
      </c>
      <c r="D22" s="35">
        <v>25.56</v>
      </c>
      <c r="E22" s="36">
        <f>(D22*1000/B22)*C22</f>
        <v>351.34020618556701</v>
      </c>
      <c r="F22" s="37">
        <v>201.84</v>
      </c>
      <c r="G22" s="34">
        <v>1</v>
      </c>
      <c r="H22" s="38">
        <v>2.1659999999999999</v>
      </c>
      <c r="I22" s="39">
        <f t="shared" ref="I22" si="9">(H22*1000/F22)*G22</f>
        <v>10.73127229488704</v>
      </c>
      <c r="J22" s="36">
        <f t="shared" ref="J22" si="10">E22-I22</f>
        <v>340.60893389067996</v>
      </c>
    </row>
    <row r="23" spans="1:10" ht="14.25" customHeight="1">
      <c r="A23" s="32" t="s">
        <v>116</v>
      </c>
      <c r="B23" s="33">
        <v>76.47</v>
      </c>
      <c r="C23" s="34">
        <v>1</v>
      </c>
      <c r="D23" s="35">
        <v>21.5</v>
      </c>
      <c r="E23" s="36">
        <f t="shared" si="0"/>
        <v>281.15600889237612</v>
      </c>
      <c r="F23" s="37">
        <v>216.43</v>
      </c>
      <c r="G23" s="34">
        <v>1</v>
      </c>
      <c r="H23" s="38">
        <v>1.0720000000000001</v>
      </c>
      <c r="I23" s="39">
        <f t="shared" ref="I23:I39" si="11">(H23*1000/F23)*G23</f>
        <v>4.9531026197846879</v>
      </c>
      <c r="J23" s="36">
        <f t="shared" ref="J23:J39" si="12">E23-I23</f>
        <v>276.20290627259141</v>
      </c>
    </row>
    <row r="24" spans="1:10" ht="14.25" customHeight="1">
      <c r="A24" s="32" t="s">
        <v>117</v>
      </c>
      <c r="B24" s="33">
        <v>75.47</v>
      </c>
      <c r="C24" s="34">
        <v>1</v>
      </c>
      <c r="D24" s="35">
        <v>24.14</v>
      </c>
      <c r="E24" s="36">
        <f t="shared" si="0"/>
        <v>319.86219689943022</v>
      </c>
      <c r="F24" s="37">
        <v>205.63</v>
      </c>
      <c r="G24" s="34">
        <v>1</v>
      </c>
      <c r="H24" s="38">
        <v>1.56</v>
      </c>
      <c r="I24" s="39">
        <f t="shared" si="11"/>
        <v>7.5864416670719255</v>
      </c>
      <c r="J24" s="36">
        <f t="shared" si="12"/>
        <v>312.27575523235828</v>
      </c>
    </row>
    <row r="25" spans="1:10" ht="14.25" customHeight="1">
      <c r="A25" s="32" t="s">
        <v>118</v>
      </c>
      <c r="B25" s="33">
        <v>73.03</v>
      </c>
      <c r="C25" s="34">
        <v>1</v>
      </c>
      <c r="D25" s="35">
        <v>24.03</v>
      </c>
      <c r="E25" s="36">
        <f t="shared" si="0"/>
        <v>329.0428590990004</v>
      </c>
      <c r="F25" s="37">
        <v>202.64</v>
      </c>
      <c r="G25" s="34">
        <v>1</v>
      </c>
      <c r="H25" s="38">
        <v>1.196</v>
      </c>
      <c r="I25" s="39">
        <f t="shared" si="11"/>
        <v>5.9020923805763923</v>
      </c>
      <c r="J25" s="36">
        <f t="shared" si="12"/>
        <v>323.140766718424</v>
      </c>
    </row>
    <row r="26" spans="1:10" ht="14.25" customHeight="1">
      <c r="A26" s="32" t="s">
        <v>119</v>
      </c>
      <c r="B26" s="33">
        <v>72.78</v>
      </c>
      <c r="C26" s="34">
        <v>1</v>
      </c>
      <c r="D26" s="35">
        <v>23.33</v>
      </c>
      <c r="E26" s="36">
        <f t="shared" si="0"/>
        <v>320.55509755427317</v>
      </c>
      <c r="F26" s="37">
        <v>207.4</v>
      </c>
      <c r="G26" s="34">
        <v>1</v>
      </c>
      <c r="H26" s="38">
        <v>0.88680000000000003</v>
      </c>
      <c r="I26" s="39">
        <f t="shared" si="11"/>
        <v>4.2757955641272902</v>
      </c>
      <c r="J26" s="36">
        <f t="shared" si="12"/>
        <v>316.27930199014588</v>
      </c>
    </row>
    <row r="27" spans="1:10" ht="14.25" customHeight="1">
      <c r="A27" s="32" t="s">
        <v>120</v>
      </c>
      <c r="B27" s="33">
        <v>73.430000000000007</v>
      </c>
      <c r="C27" s="34">
        <v>1</v>
      </c>
      <c r="D27" s="35">
        <v>22.67</v>
      </c>
      <c r="E27" s="36">
        <f t="shared" si="0"/>
        <v>308.72940215170911</v>
      </c>
      <c r="F27" s="37">
        <v>198.64</v>
      </c>
      <c r="G27" s="34">
        <v>1</v>
      </c>
      <c r="H27" s="38">
        <v>0.83509999999999995</v>
      </c>
      <c r="I27" s="39">
        <f t="shared" si="11"/>
        <v>4.2040877970197341</v>
      </c>
      <c r="J27" s="36">
        <f t="shared" si="12"/>
        <v>304.52531435468939</v>
      </c>
    </row>
    <row r="28" spans="1:10" ht="14.25" customHeight="1">
      <c r="A28" s="32" t="s">
        <v>121</v>
      </c>
      <c r="B28" s="33">
        <v>74.959999999999994</v>
      </c>
      <c r="C28" s="34">
        <v>1</v>
      </c>
      <c r="D28" s="35">
        <v>23.97</v>
      </c>
      <c r="E28" s="36">
        <f t="shared" si="0"/>
        <v>319.77054429028817</v>
      </c>
      <c r="F28" s="37">
        <v>207.59</v>
      </c>
      <c r="G28" s="34">
        <v>1</v>
      </c>
      <c r="H28" s="38">
        <v>1.4990000000000001</v>
      </c>
      <c r="I28" s="39">
        <f t="shared" si="11"/>
        <v>7.2209644009827061</v>
      </c>
      <c r="J28" s="36">
        <f t="shared" si="12"/>
        <v>312.54957988930545</v>
      </c>
    </row>
    <row r="29" spans="1:10" ht="14.25" customHeight="1">
      <c r="A29" s="32"/>
      <c r="B29" s="33"/>
      <c r="C29" s="34"/>
      <c r="D29" s="35"/>
      <c r="E29" s="36"/>
      <c r="F29" s="37"/>
      <c r="G29" s="34"/>
      <c r="H29" s="38"/>
      <c r="I29" s="39"/>
      <c r="J29" s="36"/>
    </row>
    <row r="30" spans="1:10" ht="14.25" customHeight="1">
      <c r="A30" s="32" t="s">
        <v>122</v>
      </c>
      <c r="B30" s="33">
        <v>73.31</v>
      </c>
      <c r="C30" s="34">
        <v>1</v>
      </c>
      <c r="D30" s="35">
        <v>23.24</v>
      </c>
      <c r="E30" s="36">
        <f t="shared" si="0"/>
        <v>317.00995771381804</v>
      </c>
      <c r="F30" s="37">
        <v>209.75</v>
      </c>
      <c r="G30" s="34">
        <v>1</v>
      </c>
      <c r="H30" s="38">
        <v>1.0369999999999999</v>
      </c>
      <c r="I30" s="39">
        <f t="shared" si="11"/>
        <v>4.9439809296781885</v>
      </c>
      <c r="J30" s="36">
        <f t="shared" si="12"/>
        <v>312.06597678413988</v>
      </c>
    </row>
    <row r="31" spans="1:10" ht="14.25" customHeight="1">
      <c r="A31" s="32" t="s">
        <v>123</v>
      </c>
      <c r="B31" s="33">
        <v>77.77</v>
      </c>
      <c r="C31" s="34">
        <v>1</v>
      </c>
      <c r="D31" s="35">
        <v>24.78</v>
      </c>
      <c r="E31" s="36">
        <f t="shared" si="0"/>
        <v>318.63186318631864</v>
      </c>
      <c r="F31" s="37">
        <v>207.17</v>
      </c>
      <c r="G31" s="34">
        <v>1</v>
      </c>
      <c r="H31" s="38">
        <v>0.60340000000000005</v>
      </c>
      <c r="I31" s="39">
        <f t="shared" si="11"/>
        <v>2.9125838683207035</v>
      </c>
      <c r="J31" s="36">
        <f t="shared" si="12"/>
        <v>315.71927931799792</v>
      </c>
    </row>
    <row r="32" spans="1:10" ht="14.25" customHeight="1">
      <c r="A32" s="32" t="s">
        <v>124</v>
      </c>
      <c r="B32" s="33">
        <v>77.14</v>
      </c>
      <c r="C32" s="34">
        <v>1</v>
      </c>
      <c r="D32" s="35">
        <v>20.83</v>
      </c>
      <c r="E32" s="36">
        <f t="shared" si="0"/>
        <v>270.02851957479908</v>
      </c>
      <c r="F32" s="37">
        <v>216.79</v>
      </c>
      <c r="G32" s="34">
        <v>1</v>
      </c>
      <c r="H32" s="38">
        <v>1.5</v>
      </c>
      <c r="I32" s="39">
        <f t="shared" si="11"/>
        <v>6.9191383366391443</v>
      </c>
      <c r="J32" s="36">
        <f t="shared" si="12"/>
        <v>263.10938123815993</v>
      </c>
    </row>
    <row r="33" spans="1:10" ht="14.25" customHeight="1">
      <c r="A33" s="32" t="s">
        <v>125</v>
      </c>
      <c r="B33" s="33">
        <v>71.209999999999994</v>
      </c>
      <c r="C33" s="34">
        <v>1</v>
      </c>
      <c r="D33" s="35">
        <v>21.72</v>
      </c>
      <c r="E33" s="36">
        <f t="shared" si="0"/>
        <v>305.01334082291817</v>
      </c>
      <c r="F33" s="37">
        <v>216.83</v>
      </c>
      <c r="G33" s="34">
        <v>1</v>
      </c>
      <c r="H33" s="38">
        <v>1.012</v>
      </c>
      <c r="I33" s="39">
        <f t="shared" si="11"/>
        <v>4.6672508416731997</v>
      </c>
      <c r="J33" s="36">
        <f t="shared" si="12"/>
        <v>300.34608998124497</v>
      </c>
    </row>
    <row r="34" spans="1:10" ht="14.25" customHeight="1">
      <c r="A34" s="32" t="s">
        <v>126</v>
      </c>
      <c r="B34" s="33">
        <v>71.59</v>
      </c>
      <c r="C34" s="34">
        <v>1</v>
      </c>
      <c r="D34" s="35">
        <v>22.41</v>
      </c>
      <c r="E34" s="36">
        <f t="shared" si="0"/>
        <v>313.0325464450342</v>
      </c>
      <c r="F34" s="37">
        <v>213.69</v>
      </c>
      <c r="G34" s="34">
        <v>1</v>
      </c>
      <c r="H34" s="38">
        <v>2.198</v>
      </c>
      <c r="I34" s="39">
        <f t="shared" si="11"/>
        <v>10.285928213767608</v>
      </c>
      <c r="J34" s="36">
        <f t="shared" si="12"/>
        <v>302.74661823126661</v>
      </c>
    </row>
    <row r="35" spans="1:10" ht="14.25" customHeight="1">
      <c r="A35" s="32" t="s">
        <v>127</v>
      </c>
      <c r="B35" s="33">
        <v>70.290000000000006</v>
      </c>
      <c r="C35" s="34">
        <v>1</v>
      </c>
      <c r="D35" s="35">
        <v>20.53</v>
      </c>
      <c r="E35" s="36">
        <f t="shared" si="0"/>
        <v>292.07568644188359</v>
      </c>
      <c r="F35" s="37">
        <v>177.55</v>
      </c>
      <c r="G35" s="34">
        <v>1</v>
      </c>
      <c r="H35" s="38">
        <v>1.4670000000000001</v>
      </c>
      <c r="I35" s="39">
        <f t="shared" si="11"/>
        <v>8.2624612785130935</v>
      </c>
      <c r="J35" s="36">
        <f t="shared" si="12"/>
        <v>283.81322516337048</v>
      </c>
    </row>
    <row r="36" spans="1:10" ht="14.25" customHeight="1">
      <c r="A36" s="32" t="s">
        <v>128</v>
      </c>
      <c r="B36" s="33">
        <v>72.09</v>
      </c>
      <c r="C36" s="34">
        <v>1</v>
      </c>
      <c r="D36" s="35">
        <v>21.26</v>
      </c>
      <c r="E36" s="36">
        <f t="shared" si="0"/>
        <v>294.90914135108892</v>
      </c>
      <c r="F36" s="37">
        <v>215.55</v>
      </c>
      <c r="G36" s="34">
        <v>1</v>
      </c>
      <c r="H36" s="38">
        <v>1.216</v>
      </c>
      <c r="I36" s="39">
        <f t="shared" si="11"/>
        <v>5.6413825098585013</v>
      </c>
      <c r="J36" s="36">
        <f t="shared" si="12"/>
        <v>289.26775884123043</v>
      </c>
    </row>
    <row r="37" spans="1:10" ht="14.25" customHeight="1">
      <c r="A37" s="32"/>
      <c r="B37" s="33"/>
      <c r="C37" s="34"/>
      <c r="D37" s="35"/>
      <c r="E37" s="36"/>
      <c r="F37" s="37"/>
      <c r="G37" s="34"/>
      <c r="H37" s="38"/>
      <c r="I37" s="39"/>
      <c r="J37" s="36"/>
    </row>
    <row r="38" spans="1:10" ht="14.25" customHeight="1">
      <c r="A38" s="32" t="s">
        <v>129</v>
      </c>
      <c r="B38" s="33">
        <v>71.27</v>
      </c>
      <c r="C38" s="34">
        <v>1</v>
      </c>
      <c r="D38" s="35">
        <v>22.7</v>
      </c>
      <c r="E38" s="36">
        <f t="shared" si="0"/>
        <v>318.50708573032131</v>
      </c>
      <c r="F38" s="37">
        <v>202.84</v>
      </c>
      <c r="G38" s="34">
        <v>1</v>
      </c>
      <c r="H38" s="38">
        <v>0.92130000000000001</v>
      </c>
      <c r="I38" s="39">
        <f t="shared" si="11"/>
        <v>4.5420035495957398</v>
      </c>
      <c r="J38" s="36">
        <f t="shared" si="12"/>
        <v>313.96508218072557</v>
      </c>
    </row>
    <row r="39" spans="1:10" ht="14.25" customHeight="1">
      <c r="A39" s="32" t="s">
        <v>130</v>
      </c>
      <c r="B39" s="33">
        <v>70.16</v>
      </c>
      <c r="C39" s="34">
        <v>1</v>
      </c>
      <c r="D39" s="35">
        <v>20.91</v>
      </c>
      <c r="E39" s="36">
        <f t="shared" si="0"/>
        <v>298.03306727480049</v>
      </c>
      <c r="F39" s="37">
        <v>215.32</v>
      </c>
      <c r="G39" s="34">
        <v>1</v>
      </c>
      <c r="H39" s="38">
        <v>0.89419999999999999</v>
      </c>
      <c r="I39" s="39">
        <f t="shared" si="11"/>
        <v>4.1528887237599852</v>
      </c>
      <c r="J39" s="36">
        <f t="shared" si="12"/>
        <v>293.8801785510405</v>
      </c>
    </row>
    <row r="40" spans="1:10" ht="14.25" customHeight="1">
      <c r="A40" s="32"/>
      <c r="B40" s="33"/>
      <c r="C40" s="34"/>
      <c r="D40" s="35"/>
      <c r="E40" s="36"/>
      <c r="F40" s="37"/>
      <c r="G40" s="34"/>
      <c r="H40" s="38"/>
      <c r="I40" s="39"/>
      <c r="J40" s="36"/>
    </row>
    <row r="41" spans="1:10" ht="14.25" customHeight="1">
      <c r="A41" s="32" t="s">
        <v>146</v>
      </c>
      <c r="B41" s="33">
        <v>75.040000000000006</v>
      </c>
      <c r="C41" s="34">
        <v>1</v>
      </c>
      <c r="D41" s="35">
        <v>24.56</v>
      </c>
      <c r="E41" s="36">
        <f t="shared" si="0"/>
        <v>327.29211087420038</v>
      </c>
      <c r="F41" s="37">
        <v>211.41</v>
      </c>
      <c r="G41" s="34">
        <v>1</v>
      </c>
      <c r="H41" s="38">
        <v>2.383</v>
      </c>
      <c r="I41" s="39">
        <f t="shared" ref="I41:I56" si="13">(H41*1000/F41)*G41</f>
        <v>11.271936048436688</v>
      </c>
      <c r="J41" s="36">
        <f t="shared" ref="J41:J56" si="14">E41-I41</f>
        <v>316.02017482576366</v>
      </c>
    </row>
    <row r="42" spans="1:10" ht="14.25" customHeight="1">
      <c r="A42" s="32" t="s">
        <v>131</v>
      </c>
      <c r="B42" s="33">
        <v>70.31</v>
      </c>
      <c r="C42" s="34">
        <v>1</v>
      </c>
      <c r="D42" s="35">
        <v>23.55</v>
      </c>
      <c r="E42" s="36">
        <f t="shared" si="0"/>
        <v>334.945242497511</v>
      </c>
      <c r="F42" s="37">
        <v>210.02</v>
      </c>
      <c r="G42" s="34">
        <v>1</v>
      </c>
      <c r="H42" s="38">
        <v>1.6659999999999999</v>
      </c>
      <c r="I42" s="39">
        <f t="shared" si="13"/>
        <v>7.932577849728597</v>
      </c>
      <c r="J42" s="36">
        <f t="shared" si="14"/>
        <v>327.0126646477824</v>
      </c>
    </row>
    <row r="43" spans="1:10" ht="14.25" customHeight="1">
      <c r="A43" s="32" t="s">
        <v>132</v>
      </c>
      <c r="B43" s="33">
        <v>71.94</v>
      </c>
      <c r="C43" s="34">
        <v>1</v>
      </c>
      <c r="D43" s="35">
        <v>22.09</v>
      </c>
      <c r="E43" s="36">
        <f t="shared" si="0"/>
        <v>307.06144008896302</v>
      </c>
      <c r="F43" s="37">
        <v>223.67</v>
      </c>
      <c r="G43" s="34">
        <v>1</v>
      </c>
      <c r="H43" s="38">
        <v>2.2429999999999999</v>
      </c>
      <c r="I43" s="39">
        <f t="shared" si="13"/>
        <v>10.02816649528323</v>
      </c>
      <c r="J43" s="36">
        <f t="shared" si="14"/>
        <v>297.03327359367978</v>
      </c>
    </row>
    <row r="44" spans="1:10" ht="14.25" customHeight="1">
      <c r="A44" s="32" t="s">
        <v>133</v>
      </c>
      <c r="B44" s="33">
        <v>70.89</v>
      </c>
      <c r="C44" s="34">
        <v>1</v>
      </c>
      <c r="D44" s="35">
        <v>22.12</v>
      </c>
      <c r="E44" s="36">
        <f t="shared" si="0"/>
        <v>312.03272675976865</v>
      </c>
      <c r="F44" s="37">
        <v>203.93</v>
      </c>
      <c r="G44" s="34">
        <v>1</v>
      </c>
      <c r="H44" s="38">
        <v>1.819</v>
      </c>
      <c r="I44" s="39">
        <f t="shared" si="13"/>
        <v>8.9197273574265683</v>
      </c>
      <c r="J44" s="36">
        <f t="shared" si="14"/>
        <v>303.1129994023421</v>
      </c>
    </row>
    <row r="45" spans="1:10" ht="14.25" customHeight="1">
      <c r="A45" s="32" t="s">
        <v>134</v>
      </c>
      <c r="B45" s="33">
        <v>70.510000000000005</v>
      </c>
      <c r="C45" s="34">
        <v>1</v>
      </c>
      <c r="D45" s="35">
        <v>22.8</v>
      </c>
      <c r="E45" s="36">
        <f t="shared" si="0"/>
        <v>323.35838888100977</v>
      </c>
      <c r="F45" s="40">
        <v>168.07</v>
      </c>
      <c r="G45" s="41">
        <v>1</v>
      </c>
      <c r="H45" s="42">
        <v>1.218</v>
      </c>
      <c r="I45" s="39">
        <f t="shared" si="13"/>
        <v>7.2469804248229908</v>
      </c>
      <c r="J45" s="36">
        <f t="shared" si="14"/>
        <v>316.11140845618678</v>
      </c>
    </row>
    <row r="46" spans="1:10" ht="14.25" customHeight="1">
      <c r="A46" s="32" t="s">
        <v>135</v>
      </c>
      <c r="B46" s="33">
        <v>70.349999999999994</v>
      </c>
      <c r="C46" s="34">
        <v>1</v>
      </c>
      <c r="D46" s="35">
        <v>22.09</v>
      </c>
      <c r="E46" s="36">
        <f t="shared" si="0"/>
        <v>314.00142146410803</v>
      </c>
      <c r="F46" s="37">
        <v>239.05</v>
      </c>
      <c r="G46" s="34">
        <v>1</v>
      </c>
      <c r="H46" s="38">
        <v>2.0960000000000001</v>
      </c>
      <c r="I46" s="39">
        <f t="shared" si="13"/>
        <v>8.7680401589625596</v>
      </c>
      <c r="J46" s="36">
        <f t="shared" si="14"/>
        <v>305.23338130514549</v>
      </c>
    </row>
    <row r="47" spans="1:10" ht="14.25" customHeight="1">
      <c r="A47" s="32"/>
      <c r="B47" s="33"/>
      <c r="C47" s="34"/>
      <c r="D47" s="35"/>
      <c r="E47" s="36"/>
      <c r="F47" s="37"/>
      <c r="G47" s="34"/>
      <c r="H47" s="38"/>
      <c r="I47" s="39"/>
      <c r="J47" s="36"/>
    </row>
    <row r="48" spans="1:10" ht="14.25" customHeight="1">
      <c r="A48" s="32" t="s">
        <v>136</v>
      </c>
      <c r="B48" s="33">
        <v>76.97</v>
      </c>
      <c r="C48" s="34">
        <v>1</v>
      </c>
      <c r="D48" s="35">
        <v>23.84</v>
      </c>
      <c r="E48" s="36">
        <f t="shared" si="0"/>
        <v>309.73106405092892</v>
      </c>
      <c r="F48" s="37">
        <v>232.5</v>
      </c>
      <c r="G48" s="34">
        <v>1</v>
      </c>
      <c r="H48" s="38">
        <v>1.31</v>
      </c>
      <c r="I48" s="39">
        <f t="shared" si="13"/>
        <v>5.634408602150538</v>
      </c>
      <c r="J48" s="36">
        <f t="shared" si="14"/>
        <v>304.09665544877839</v>
      </c>
    </row>
    <row r="49" spans="1:10" ht="14.25" customHeight="1">
      <c r="A49" s="32" t="s">
        <v>137</v>
      </c>
      <c r="B49" s="33">
        <v>70.38</v>
      </c>
      <c r="C49" s="34">
        <v>1</v>
      </c>
      <c r="D49" s="35">
        <v>23.85</v>
      </c>
      <c r="E49" s="36">
        <f t="shared" si="0"/>
        <v>338.87468030690542</v>
      </c>
      <c r="F49" s="37">
        <v>203.46</v>
      </c>
      <c r="G49" s="34">
        <v>1</v>
      </c>
      <c r="H49" s="38">
        <v>1.367</v>
      </c>
      <c r="I49" s="39">
        <f t="shared" si="13"/>
        <v>6.7187653592843803</v>
      </c>
      <c r="J49" s="36">
        <f t="shared" si="14"/>
        <v>332.15591494762106</v>
      </c>
    </row>
    <row r="50" spans="1:10" ht="14.25" customHeight="1">
      <c r="A50" s="32" t="s">
        <v>138</v>
      </c>
      <c r="B50" s="33">
        <v>70.27</v>
      </c>
      <c r="C50" s="34">
        <v>1</v>
      </c>
      <c r="D50" s="35">
        <v>21.12</v>
      </c>
      <c r="E50" s="36">
        <f t="shared" si="0"/>
        <v>300.55500213462363</v>
      </c>
      <c r="F50" s="37">
        <v>219.48</v>
      </c>
      <c r="G50" s="34">
        <v>1</v>
      </c>
      <c r="H50" s="38">
        <v>0.95740000000000003</v>
      </c>
      <c r="I50" s="39">
        <f t="shared" si="13"/>
        <v>4.3621286677601603</v>
      </c>
      <c r="J50" s="36">
        <f t="shared" si="14"/>
        <v>296.19287346686349</v>
      </c>
    </row>
    <row r="51" spans="1:10" ht="14.25" customHeight="1">
      <c r="A51" s="32" t="s">
        <v>139</v>
      </c>
      <c r="B51" s="33">
        <v>73.98</v>
      </c>
      <c r="C51" s="34">
        <v>1</v>
      </c>
      <c r="D51" s="35">
        <v>23.35</v>
      </c>
      <c r="E51" s="36">
        <f t="shared" si="0"/>
        <v>315.6258448229251</v>
      </c>
      <c r="F51" s="37">
        <v>205.09</v>
      </c>
      <c r="G51" s="34">
        <v>1</v>
      </c>
      <c r="H51" s="38">
        <v>1.321</v>
      </c>
      <c r="I51" s="39">
        <f t="shared" si="13"/>
        <v>6.4410746501535909</v>
      </c>
      <c r="J51" s="36">
        <f t="shared" si="14"/>
        <v>309.18477017277149</v>
      </c>
    </row>
    <row r="52" spans="1:10" ht="14.25" customHeight="1">
      <c r="A52" s="32" t="s">
        <v>140</v>
      </c>
      <c r="B52" s="33">
        <v>70.260000000000005</v>
      </c>
      <c r="C52" s="34">
        <v>1</v>
      </c>
      <c r="D52" s="35">
        <v>17.899999999999999</v>
      </c>
      <c r="E52" s="36">
        <f t="shared" si="0"/>
        <v>254.7680045545118</v>
      </c>
      <c r="F52" s="37">
        <v>230.36</v>
      </c>
      <c r="G52" s="34">
        <v>1</v>
      </c>
      <c r="H52" s="38">
        <v>1.286</v>
      </c>
      <c r="I52" s="39">
        <f t="shared" si="13"/>
        <v>5.582566417780864</v>
      </c>
      <c r="J52" s="36">
        <f t="shared" si="14"/>
        <v>249.18543813673094</v>
      </c>
    </row>
    <row r="53" spans="1:10" ht="14.25" customHeight="1">
      <c r="A53" s="32" t="s">
        <v>145</v>
      </c>
      <c r="B53" s="33">
        <v>73.5</v>
      </c>
      <c r="C53" s="34">
        <v>1</v>
      </c>
      <c r="D53" s="35">
        <v>22.03</v>
      </c>
      <c r="E53" s="36">
        <f t="shared" si="0"/>
        <v>299.72789115646259</v>
      </c>
      <c r="F53" s="37">
        <v>221.33</v>
      </c>
      <c r="G53" s="34">
        <v>1</v>
      </c>
      <c r="H53" s="38">
        <v>1.794</v>
      </c>
      <c r="I53" s="39">
        <f t="shared" si="13"/>
        <v>8.1055437581891283</v>
      </c>
      <c r="J53" s="36">
        <f t="shared" si="14"/>
        <v>291.62234739827346</v>
      </c>
    </row>
    <row r="54" spans="1:10" ht="14.25" customHeight="1">
      <c r="A54" s="32"/>
      <c r="B54" s="33"/>
      <c r="C54" s="34"/>
      <c r="D54" s="35"/>
      <c r="E54" s="36"/>
      <c r="F54" s="37"/>
      <c r="G54" s="34"/>
      <c r="H54" s="38"/>
      <c r="I54" s="39"/>
      <c r="J54" s="36"/>
    </row>
    <row r="55" spans="1:10" ht="14.25" customHeight="1">
      <c r="A55" s="32" t="s">
        <v>141</v>
      </c>
      <c r="B55" s="33">
        <v>72.209999999999994</v>
      </c>
      <c r="C55" s="34">
        <v>1</v>
      </c>
      <c r="D55" s="35">
        <v>23.34</v>
      </c>
      <c r="E55" s="36">
        <f t="shared" si="0"/>
        <v>323.22393020357293</v>
      </c>
      <c r="F55" s="37">
        <v>205.55</v>
      </c>
      <c r="G55" s="34">
        <v>1</v>
      </c>
      <c r="H55" s="38">
        <v>1.55</v>
      </c>
      <c r="I55" s="39">
        <f t="shared" si="13"/>
        <v>7.540744344441741</v>
      </c>
      <c r="J55" s="36">
        <f t="shared" si="14"/>
        <v>315.68318585913119</v>
      </c>
    </row>
    <row r="56" spans="1:10" ht="14.25" customHeight="1">
      <c r="A56" s="32" t="s">
        <v>142</v>
      </c>
      <c r="B56" s="33">
        <v>75.84</v>
      </c>
      <c r="C56" s="34">
        <v>1</v>
      </c>
      <c r="D56" s="35">
        <v>20.21</v>
      </c>
      <c r="E56" s="36">
        <f t="shared" si="0"/>
        <v>266.48206751054852</v>
      </c>
      <c r="F56" s="37">
        <v>204.62</v>
      </c>
      <c r="G56" s="34">
        <v>1</v>
      </c>
      <c r="H56" s="38">
        <v>0.71430000000000005</v>
      </c>
      <c r="I56" s="39">
        <f t="shared" si="13"/>
        <v>3.4908611083960515</v>
      </c>
      <c r="J56" s="36">
        <f t="shared" si="14"/>
        <v>262.99120640215244</v>
      </c>
    </row>
    <row r="57" spans="1:10" ht="14.25" customHeight="1">
      <c r="A57" s="32"/>
      <c r="B57" s="33"/>
      <c r="C57" s="34"/>
      <c r="D57" s="35"/>
      <c r="E57" s="36"/>
      <c r="F57" s="37"/>
      <c r="G57" s="34"/>
      <c r="H57" s="38"/>
      <c r="I57" s="39"/>
      <c r="J57" s="36"/>
    </row>
    <row r="59" spans="1:10">
      <c r="A59" s="43" t="s">
        <v>147</v>
      </c>
    </row>
  </sheetData>
  <mergeCells count="24">
    <mergeCell ref="I11:I12"/>
    <mergeCell ref="J11:J12"/>
    <mergeCell ref="B10:E10"/>
    <mergeCell ref="F10:I10"/>
    <mergeCell ref="A11:A12"/>
    <mergeCell ref="B11:B12"/>
    <mergeCell ref="C11:C12"/>
    <mergeCell ref="D11:D12"/>
    <mergeCell ref="E11:E12"/>
    <mergeCell ref="F11:F12"/>
    <mergeCell ref="G11:G12"/>
    <mergeCell ref="H11:H12"/>
    <mergeCell ref="A6:B6"/>
    <mergeCell ref="C6:D6"/>
    <mergeCell ref="A7:B7"/>
    <mergeCell ref="C7:D7"/>
    <mergeCell ref="A8:B8"/>
    <mergeCell ref="C8:D8"/>
    <mergeCell ref="A1:C3"/>
    <mergeCell ref="D1:I1"/>
    <mergeCell ref="D2:I2"/>
    <mergeCell ref="D3:I3"/>
    <mergeCell ref="A5:B5"/>
    <mergeCell ref="C5:D5"/>
  </mergeCells>
  <pageMargins left="0.23611111111111099" right="0.23611111111111099" top="0.196527777777778" bottom="0.196527777777778" header="0.511811023622047" footer="0.511811023622047"/>
  <pageSetup paperSize="9" scale="81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biomass</vt:lpstr>
      <vt:lpstr>carbon</vt:lpstr>
      <vt:lpstr>carbon!Print_Area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oiry</dc:creator>
  <cp:lastModifiedBy>barille-l</cp:lastModifiedBy>
  <dcterms:created xsi:type="dcterms:W3CDTF">2025-09-16T12:14:44Z</dcterms:created>
  <dcterms:modified xsi:type="dcterms:W3CDTF">2026-03-02T14:20:48Z</dcterms:modified>
</cp:coreProperties>
</file>