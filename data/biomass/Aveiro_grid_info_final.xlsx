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REWRITE\Field_data\seagrass_carbon_2025\data\biomass\"/>
    </mc:Choice>
  </mc:AlternateContent>
  <bookViews>
    <workbookView xWindow="-120" yWindow="-120" windowWidth="29040" windowHeight="17640"/>
  </bookViews>
  <sheets>
    <sheet name="data" sheetId="1" r:id="rId1"/>
    <sheet name="seagrass biomass" sheetId="3" r:id="rId2"/>
    <sheet name="Feuil3" sheetId="6" r:id="rId3"/>
  </sheets>
  <definedNames>
    <definedName name="_xlnm._FilterDatabase" localSheetId="0" hidden="1">data!$A$1:$O$100</definedName>
    <definedName name="_xlnm._FilterDatabase" localSheetId="1" hidden="1">'seagrass biomass'!$A$1:$F$165</definedName>
  </definedNames>
  <calcPr calcId="162913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4" i="3" l="1"/>
  <c r="P9" i="3"/>
  <c r="P104" i="3"/>
  <c r="P103" i="3"/>
  <c r="P88" i="3"/>
  <c r="P87" i="3"/>
  <c r="P71" i="3"/>
  <c r="E41" i="3"/>
  <c r="E6" i="3"/>
  <c r="E101" i="3"/>
  <c r="E100" i="3"/>
  <c r="E85" i="3"/>
  <c r="E84" i="3"/>
  <c r="E68" i="3"/>
  <c r="L44" i="1" l="1"/>
  <c r="L51" i="1"/>
  <c r="L55" i="1"/>
  <c r="L56" i="1"/>
  <c r="L62" i="1"/>
  <c r="L73" i="1"/>
  <c r="L75" i="1"/>
  <c r="L80" i="1"/>
  <c r="L83" i="1"/>
  <c r="J58" i="1"/>
  <c r="J2" i="1"/>
  <c r="J33" i="1"/>
  <c r="K33" i="1"/>
  <c r="J34" i="1"/>
  <c r="K3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</calcChain>
</file>

<file path=xl/comments1.xml><?xml version="1.0" encoding="utf-8"?>
<comments xmlns="http://schemas.openxmlformats.org/spreadsheetml/2006/main">
  <authors>
    <author>tc={50A84D78-0949-442C-8B45-B42A1C631C90}</author>
    <author>tc={B1E548A4-451D-442C-8170-46B83715A7EA}</author>
    <author>tc={750D5695-E24D-437A-86B5-81CD1CFB106D}</author>
    <author>tc={E50ACC29-A39A-45E8-99D8-DB2F209B5289}</author>
    <author>tc={E989AD93-086E-4B84-BCB0-75F70F31E996}</author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just on dyke, adjusted few meters to east</t>
        </r>
      </text>
    </comment>
    <comment ref="E7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just on dyke, adjusted few meters to east</t>
        </r>
      </text>
    </comment>
    <comment ref="G11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?check booklet</t>
        </r>
      </text>
    </comment>
    <comment ref="G19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number in booklet</t>
        </r>
      </text>
    </comment>
    <comment ref="G40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number in booklet</t>
        </r>
      </text>
    </comment>
  </commentList>
</comments>
</file>

<file path=xl/sharedStrings.xml><?xml version="1.0" encoding="utf-8"?>
<sst xmlns="http://schemas.openxmlformats.org/spreadsheetml/2006/main" count="1196" uniqueCount="455">
  <si>
    <t>type</t>
  </si>
  <si>
    <t>name</t>
  </si>
  <si>
    <t>RG 1</t>
  </si>
  <si>
    <t>RG 2</t>
  </si>
  <si>
    <t>RG 3</t>
  </si>
  <si>
    <t>RG 4</t>
  </si>
  <si>
    <t>RG 5</t>
  </si>
  <si>
    <t>RG 6</t>
  </si>
  <si>
    <t>RG 7</t>
  </si>
  <si>
    <t>RG 8</t>
  </si>
  <si>
    <t>RG 9</t>
  </si>
  <si>
    <t>RG 10</t>
  </si>
  <si>
    <t>RG 11</t>
  </si>
  <si>
    <t>RG 12</t>
  </si>
  <si>
    <t>RG 13</t>
  </si>
  <si>
    <t>RG 14</t>
  </si>
  <si>
    <t>RG 15</t>
  </si>
  <si>
    <t>RG 16</t>
  </si>
  <si>
    <t>RG 17</t>
  </si>
  <si>
    <t>RG 18</t>
  </si>
  <si>
    <t>RG 19</t>
  </si>
  <si>
    <t>RG 20</t>
  </si>
  <si>
    <t>RG 21</t>
  </si>
  <si>
    <t>RG 22</t>
  </si>
  <si>
    <t>RG 23</t>
  </si>
  <si>
    <t>RG 24</t>
  </si>
  <si>
    <t>RG 25</t>
  </si>
  <si>
    <t>RG 26</t>
  </si>
  <si>
    <t>RG 27</t>
  </si>
  <si>
    <t>RG 28</t>
  </si>
  <si>
    <t>RG 29</t>
  </si>
  <si>
    <t>RG 30</t>
  </si>
  <si>
    <t>RG 31</t>
  </si>
  <si>
    <t>RG 32</t>
  </si>
  <si>
    <t>RR 33</t>
  </si>
  <si>
    <t>RR 34</t>
  </si>
  <si>
    <t>RR 35</t>
  </si>
  <si>
    <t>RR 36</t>
  </si>
  <si>
    <t>RR 37</t>
  </si>
  <si>
    <t>RR 38</t>
  </si>
  <si>
    <t>RR 39</t>
  </si>
  <si>
    <t>RR 40</t>
  </si>
  <si>
    <t>RR 41</t>
  </si>
  <si>
    <t>RR 42</t>
  </si>
  <si>
    <t>RR 43</t>
  </si>
  <si>
    <t>RR 44</t>
  </si>
  <si>
    <t>RR 45</t>
  </si>
  <si>
    <t>RR 46</t>
  </si>
  <si>
    <t>RR 47</t>
  </si>
  <si>
    <t>RR 48</t>
  </si>
  <si>
    <t>RR 49</t>
  </si>
  <si>
    <t>RR 50</t>
  </si>
  <si>
    <t>RR 51</t>
  </si>
  <si>
    <t>RR 52</t>
  </si>
  <si>
    <t>RR 53</t>
  </si>
  <si>
    <t>poskey.benthos</t>
  </si>
  <si>
    <t>creek</t>
  </si>
  <si>
    <t>marsh</t>
  </si>
  <si>
    <t>edge bare and seagrass</t>
  </si>
  <si>
    <t>remark</t>
  </si>
  <si>
    <t>latitude</t>
  </si>
  <si>
    <t>longitude</t>
  </si>
  <si>
    <t>NG 5</t>
  </si>
  <si>
    <t>NG 6</t>
  </si>
  <si>
    <t>NG 7</t>
  </si>
  <si>
    <t>NG 8</t>
  </si>
  <si>
    <t>NG 9</t>
  </si>
  <si>
    <t>NG 10</t>
  </si>
  <si>
    <t>NG 11</t>
  </si>
  <si>
    <t>NG 12</t>
  </si>
  <si>
    <t>NG 13</t>
  </si>
  <si>
    <t>NG 14</t>
  </si>
  <si>
    <t>NG 15</t>
  </si>
  <si>
    <t>NG 16</t>
  </si>
  <si>
    <t>NG 17</t>
  </si>
  <si>
    <t>NG 18</t>
  </si>
  <si>
    <t>NG 19</t>
  </si>
  <si>
    <t>NG 20</t>
  </si>
  <si>
    <t>NG 21</t>
  </si>
  <si>
    <t>NG 22</t>
  </si>
  <si>
    <t>NG 23</t>
  </si>
  <si>
    <t>NG 24</t>
  </si>
  <si>
    <t>NG 25</t>
  </si>
  <si>
    <t>NG 26</t>
  </si>
  <si>
    <t>NG 27</t>
  </si>
  <si>
    <t>NG 28</t>
  </si>
  <si>
    <t>NG 29</t>
  </si>
  <si>
    <t>NG 30</t>
  </si>
  <si>
    <t>NG 31</t>
  </si>
  <si>
    <t>NG 32</t>
  </si>
  <si>
    <t>NR 36</t>
  </si>
  <si>
    <t>NR 37</t>
  </si>
  <si>
    <t>NR 38</t>
  </si>
  <si>
    <t>NR 39</t>
  </si>
  <si>
    <t>NR 40</t>
  </si>
  <si>
    <t>NR 41</t>
  </si>
  <si>
    <t>NR 42</t>
  </si>
  <si>
    <t>NR 43</t>
  </si>
  <si>
    <t>NR 44</t>
  </si>
  <si>
    <t>NR 45</t>
  </si>
  <si>
    <t>NR 46</t>
  </si>
  <si>
    <t>NR 47</t>
  </si>
  <si>
    <t>NR 48</t>
  </si>
  <si>
    <t>NR 49</t>
  </si>
  <si>
    <t>NR 50</t>
  </si>
  <si>
    <t>NR 51</t>
  </si>
  <si>
    <t>NR 52</t>
  </si>
  <si>
    <t>NR 53</t>
  </si>
  <si>
    <t>site</t>
  </si>
  <si>
    <t>rewilded</t>
  </si>
  <si>
    <t>natural</t>
  </si>
  <si>
    <t>grid</t>
  </si>
  <si>
    <t>random</t>
  </si>
  <si>
    <t>seagrass.cover.Laurant</t>
  </si>
  <si>
    <t>spectral camera</t>
  </si>
  <si>
    <t>A1-A20</t>
  </si>
  <si>
    <t>A21-A40</t>
  </si>
  <si>
    <t>A41-A60</t>
  </si>
  <si>
    <t>A101-A120</t>
  </si>
  <si>
    <t>A121-A140</t>
  </si>
  <si>
    <t>A141-A160</t>
  </si>
  <si>
    <t>A161-A180</t>
  </si>
  <si>
    <t>info spectral cam notes Laurant</t>
  </si>
  <si>
    <t>AVI2 381-400</t>
  </si>
  <si>
    <t>AVI2 261-280</t>
  </si>
  <si>
    <t>AVI2 401-420</t>
  </si>
  <si>
    <t>sandy</t>
  </si>
  <si>
    <t>poskey.sediment</t>
  </si>
  <si>
    <t>picture</t>
  </si>
  <si>
    <t>Laurant</t>
  </si>
  <si>
    <t>gesampled door Loran, door Jim gemarkeerd als marsh (verwarring bij wisseling van teams)</t>
  </si>
  <si>
    <t>gesampled door Loran, door Jim gemarkeerd als marsh</t>
  </si>
  <si>
    <t>P7150059</t>
  </si>
  <si>
    <t>P7150062</t>
  </si>
  <si>
    <t>P7150063</t>
  </si>
  <si>
    <t>P7150065</t>
  </si>
  <si>
    <t>P7150066</t>
  </si>
  <si>
    <t>P7150067</t>
  </si>
  <si>
    <t>P7150068</t>
  </si>
  <si>
    <t>P7150069</t>
  </si>
  <si>
    <t>P7150070</t>
  </si>
  <si>
    <t>P7150071</t>
  </si>
  <si>
    <t>P7150072</t>
  </si>
  <si>
    <t>P7150073</t>
  </si>
  <si>
    <t>P7150074</t>
  </si>
  <si>
    <t>P7150075</t>
  </si>
  <si>
    <t>P7150076</t>
  </si>
  <si>
    <t>P7150077</t>
  </si>
  <si>
    <t>P7150078</t>
  </si>
  <si>
    <t>P7150079</t>
  </si>
  <si>
    <t>P7150080</t>
  </si>
  <si>
    <t>P7150081</t>
  </si>
  <si>
    <t>P7150082</t>
  </si>
  <si>
    <t>P7150083</t>
  </si>
  <si>
    <t>P7150084</t>
  </si>
  <si>
    <t>P7150085</t>
  </si>
  <si>
    <t>P7150086</t>
  </si>
  <si>
    <t>P7150087</t>
  </si>
  <si>
    <t>P7150088</t>
  </si>
  <si>
    <t>P7150089</t>
  </si>
  <si>
    <t>P7150090</t>
  </si>
  <si>
    <t>P7150091</t>
  </si>
  <si>
    <t>P7150061</t>
  </si>
  <si>
    <t>P7160092</t>
  </si>
  <si>
    <t>P7160093</t>
  </si>
  <si>
    <t>P7160094</t>
  </si>
  <si>
    <t>P7160095</t>
  </si>
  <si>
    <t>P7160096</t>
  </si>
  <si>
    <t>P7160102</t>
  </si>
  <si>
    <t>P7160103</t>
  </si>
  <si>
    <t>P7160104</t>
  </si>
  <si>
    <t>P7160112</t>
  </si>
  <si>
    <t>P7160113</t>
  </si>
  <si>
    <t>P7170125</t>
  </si>
  <si>
    <t>P7170126</t>
  </si>
  <si>
    <t>P7170127</t>
  </si>
  <si>
    <t>P7170128</t>
  </si>
  <si>
    <t>P7170129</t>
  </si>
  <si>
    <t>P7170152</t>
  </si>
  <si>
    <t>P7170153</t>
  </si>
  <si>
    <t>P7170154</t>
  </si>
  <si>
    <t>P7170155</t>
  </si>
  <si>
    <t>P7170156</t>
  </si>
  <si>
    <t>P7170157</t>
  </si>
  <si>
    <t>P7170158</t>
  </si>
  <si>
    <t>P7170159</t>
  </si>
  <si>
    <t>P7170160</t>
  </si>
  <si>
    <t>P7170161</t>
  </si>
  <si>
    <t>P7170164</t>
  </si>
  <si>
    <t>P7170165</t>
  </si>
  <si>
    <t>P7170166</t>
  </si>
  <si>
    <t>P7170167</t>
  </si>
  <si>
    <t>P7170168</t>
  </si>
  <si>
    <t>P7170169</t>
  </si>
  <si>
    <t>P7170170</t>
  </si>
  <si>
    <t>P7170171</t>
  </si>
  <si>
    <t>P7170172</t>
  </si>
  <si>
    <t>P7170173</t>
  </si>
  <si>
    <t>P7170174</t>
  </si>
  <si>
    <t>P7170177</t>
  </si>
  <si>
    <t>P7170178</t>
  </si>
  <si>
    <t>P7170179</t>
  </si>
  <si>
    <t>P7170180</t>
  </si>
  <si>
    <t>P7170181</t>
  </si>
  <si>
    <t>P7170182</t>
  </si>
  <si>
    <t>P7170183</t>
  </si>
  <si>
    <t>P7170184</t>
  </si>
  <si>
    <t>P7170185</t>
  </si>
  <si>
    <t>P7170187</t>
  </si>
  <si>
    <t>P7170188</t>
  </si>
  <si>
    <t>P7170189</t>
  </si>
  <si>
    <t>P7170190</t>
  </si>
  <si>
    <t>P7170191</t>
  </si>
  <si>
    <t>P7170192</t>
  </si>
  <si>
    <t>P7170193</t>
  </si>
  <si>
    <t>P7170194</t>
  </si>
  <si>
    <t>Aveiro 07/2025</t>
  </si>
  <si>
    <t>Oven 48h at 60°C</t>
  </si>
  <si>
    <t>A = Above ground biomass</t>
  </si>
  <si>
    <t>B= Belowground biomass</t>
  </si>
  <si>
    <t>Code</t>
  </si>
  <si>
    <t>dry weight (mg)</t>
  </si>
  <si>
    <t>10A</t>
  </si>
  <si>
    <t>Seagrass leaves and Roots/Rhizomes</t>
  </si>
  <si>
    <t>10B</t>
  </si>
  <si>
    <t>113AN</t>
  </si>
  <si>
    <t>113BN</t>
  </si>
  <si>
    <t>115AN</t>
  </si>
  <si>
    <t>115BN</t>
  </si>
  <si>
    <t>116AN</t>
  </si>
  <si>
    <t>116BN</t>
  </si>
  <si>
    <t>117AN</t>
  </si>
  <si>
    <t>117BN</t>
  </si>
  <si>
    <t>119A</t>
  </si>
  <si>
    <t>119B</t>
  </si>
  <si>
    <t>11A</t>
  </si>
  <si>
    <t>11B</t>
  </si>
  <si>
    <t>120AN</t>
  </si>
  <si>
    <t>120BN</t>
  </si>
  <si>
    <t>121AN</t>
  </si>
  <si>
    <t>empty</t>
  </si>
  <si>
    <t>121BN</t>
  </si>
  <si>
    <t>122AN</t>
  </si>
  <si>
    <t>122BN</t>
  </si>
  <si>
    <t>123AN</t>
  </si>
  <si>
    <t>123BN</t>
  </si>
  <si>
    <t>124AN</t>
  </si>
  <si>
    <t>124BN</t>
  </si>
  <si>
    <t>125AN</t>
  </si>
  <si>
    <t>125BN</t>
  </si>
  <si>
    <t>126AN</t>
  </si>
  <si>
    <t>126BN</t>
  </si>
  <si>
    <t>127AN</t>
  </si>
  <si>
    <t>127BN</t>
  </si>
  <si>
    <t>128AN</t>
  </si>
  <si>
    <t>128BN</t>
  </si>
  <si>
    <t>12A</t>
  </si>
  <si>
    <t>12B</t>
  </si>
  <si>
    <t>130A</t>
  </si>
  <si>
    <t>130BN</t>
  </si>
  <si>
    <t>132AN</t>
  </si>
  <si>
    <t>132BN</t>
  </si>
  <si>
    <t>133AN</t>
  </si>
  <si>
    <t>133BN</t>
  </si>
  <si>
    <t>134AN</t>
  </si>
  <si>
    <t>134BN</t>
  </si>
  <si>
    <t>137AN</t>
  </si>
  <si>
    <t>137BN</t>
  </si>
  <si>
    <t>138AN</t>
  </si>
  <si>
    <t>138BN</t>
  </si>
  <si>
    <t>13A</t>
  </si>
  <si>
    <t>13B</t>
  </si>
  <si>
    <t>140AN</t>
  </si>
  <si>
    <t>140BN</t>
  </si>
  <si>
    <t>141AN</t>
  </si>
  <si>
    <t>141BN</t>
  </si>
  <si>
    <t>142AN</t>
  </si>
  <si>
    <t>142BN</t>
  </si>
  <si>
    <t>148AN</t>
  </si>
  <si>
    <t>148BN</t>
  </si>
  <si>
    <t>149AN</t>
  </si>
  <si>
    <t>149BN</t>
  </si>
  <si>
    <t>14A</t>
  </si>
  <si>
    <t>14B</t>
  </si>
  <si>
    <t>150AN</t>
  </si>
  <si>
    <t>150BN</t>
  </si>
  <si>
    <t>151AN</t>
  </si>
  <si>
    <t>151BN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</si>
  <si>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</si>
  <si>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</si>
  <si>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</si>
  <si>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</si>
  <si>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</si>
  <si>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</si>
  <si>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</si>
  <si>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</si>
  <si>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</si>
  <si>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</si>
  <si>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</si>
  <si>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</si>
  <si>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</si>
  <si>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</si>
  <si>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</si>
  <si>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</si>
  <si>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</si>
  <si>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</si>
  <si>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</si>
  <si>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</si>
  <si>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</si>
  <si>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</si>
  <si>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</si>
  <si>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</si>
  <si>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</si>
  <si>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</si>
  <si>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</si>
  <si>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</si>
  <si>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</si>
  <si>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</si>
  <si>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</si>
  <si>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</si>
  <si>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</si>
  <si>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</si>
  <si>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</si>
  <si>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</si>
  <si>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</si>
  <si>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</si>
  <si>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</si>
  <si>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</si>
  <si>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</si>
  <si>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</si>
  <si>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3A</t>
  </si>
  <si>
    <t>3B</t>
  </si>
  <si>
    <t>40A</t>
  </si>
  <si>
    <t>40B</t>
  </si>
  <si>
    <t>4A</t>
  </si>
  <si>
    <t>4B</t>
  </si>
  <si>
    <t>5A</t>
  </si>
  <si>
    <t>5B</t>
  </si>
  <si>
    <t>6A</t>
  </si>
  <si>
    <t>6B</t>
  </si>
  <si>
    <t>7A</t>
  </si>
  <si>
    <t>7B</t>
  </si>
  <si>
    <t>81A</t>
  </si>
  <si>
    <t>81B</t>
  </si>
  <si>
    <t>82A</t>
  </si>
  <si>
    <t>82B</t>
  </si>
  <si>
    <t>84AN</t>
  </si>
  <si>
    <t>84BN</t>
  </si>
  <si>
    <t>85AN</t>
  </si>
  <si>
    <t>85BN</t>
  </si>
  <si>
    <t>86AN</t>
  </si>
  <si>
    <t>86BN</t>
  </si>
  <si>
    <t>87AN</t>
  </si>
  <si>
    <t>87BN</t>
  </si>
  <si>
    <t>88AN</t>
  </si>
  <si>
    <t>88BN</t>
  </si>
  <si>
    <t>89AN</t>
  </si>
  <si>
    <t>89BN</t>
  </si>
  <si>
    <t>8A</t>
  </si>
  <si>
    <t>8B</t>
  </si>
  <si>
    <t>91AN</t>
  </si>
  <si>
    <t>91BN</t>
  </si>
  <si>
    <t>92AN</t>
  </si>
  <si>
    <t>92BN</t>
  </si>
  <si>
    <t>93AN</t>
  </si>
  <si>
    <t>93BN</t>
  </si>
  <si>
    <t>9A</t>
  </si>
  <si>
    <t>9B</t>
  </si>
  <si>
    <t>AB</t>
  </si>
  <si>
    <t>A</t>
  </si>
  <si>
    <t>B</t>
  </si>
  <si>
    <t>seagrassA</t>
  </si>
  <si>
    <t>seagrassB</t>
  </si>
  <si>
    <t>poskey</t>
  </si>
  <si>
    <t>teller</t>
  </si>
  <si>
    <t>on picture no seagrass</t>
  </si>
  <si>
    <t>bare</t>
  </si>
  <si>
    <t>algae</t>
  </si>
  <si>
    <t>habitat</t>
  </si>
  <si>
    <t>seagrass</t>
  </si>
  <si>
    <t>Column Labels</t>
  </si>
  <si>
    <t>Row Labels</t>
  </si>
  <si>
    <t>(blank)</t>
  </si>
  <si>
    <t>Grand Total</t>
  </si>
  <si>
    <t>NIOZ lab</t>
  </si>
  <si>
    <t>Average of dry weight (mg)</t>
  </si>
  <si>
    <t>aveiro</t>
  </si>
  <si>
    <t>sorting lab</t>
  </si>
  <si>
    <t>2025048</t>
  </si>
  <si>
    <t>2025043</t>
  </si>
  <si>
    <t>2025047</t>
  </si>
  <si>
    <t>2025041</t>
  </si>
  <si>
    <t>2025050</t>
  </si>
  <si>
    <t>2025059</t>
  </si>
  <si>
    <t>2025056</t>
  </si>
  <si>
    <t>2025060</t>
  </si>
  <si>
    <t>2025045</t>
  </si>
  <si>
    <t>2025042</t>
  </si>
  <si>
    <t>2025054</t>
  </si>
  <si>
    <t>2025046</t>
  </si>
  <si>
    <t>2025051</t>
  </si>
  <si>
    <t>2025053</t>
  </si>
  <si>
    <t>2025044</t>
  </si>
  <si>
    <t>2025055</t>
  </si>
  <si>
    <t>20250?</t>
  </si>
  <si>
    <t>2025052</t>
  </si>
  <si>
    <t>2025061</t>
  </si>
  <si>
    <t>2025057</t>
  </si>
  <si>
    <t>2025072</t>
  </si>
  <si>
    <t>2025075</t>
  </si>
  <si>
    <t>2025080</t>
  </si>
  <si>
    <t>2025070</t>
  </si>
  <si>
    <t>2025073</t>
  </si>
  <si>
    <t>2025063</t>
  </si>
  <si>
    <t>2025079</t>
  </si>
  <si>
    <t>2025078</t>
  </si>
  <si>
    <t>2025074</t>
  </si>
  <si>
    <t>2025066</t>
  </si>
  <si>
    <t>2025071</t>
  </si>
  <si>
    <t>2025110</t>
  </si>
  <si>
    <t>2025100</t>
  </si>
  <si>
    <t>2025096</t>
  </si>
  <si>
    <t>2025095</t>
  </si>
  <si>
    <t>2025062</t>
  </si>
  <si>
    <t>2025107</t>
  </si>
  <si>
    <t>2025077</t>
  </si>
  <si>
    <t>2025108</t>
  </si>
  <si>
    <t>2025182</t>
  </si>
  <si>
    <t>2025171</t>
  </si>
  <si>
    <t>2025176</t>
  </si>
  <si>
    <t>2025170</t>
  </si>
  <si>
    <t>2025162</t>
  </si>
  <si>
    <t>2025183</t>
  </si>
  <si>
    <t>2025181</t>
  </si>
  <si>
    <t>2025165</t>
  </si>
  <si>
    <t>2025185</t>
  </si>
  <si>
    <t>2025167</t>
  </si>
  <si>
    <t>2025052?</t>
  </si>
  <si>
    <t>accidentally skipped</t>
  </si>
  <si>
    <t>no</t>
  </si>
  <si>
    <t>AVE0-AVE20</t>
  </si>
  <si>
    <t>AVE21-AVE40</t>
  </si>
  <si>
    <t>AVE41-AVE60</t>
  </si>
  <si>
    <t>A61-A80</t>
  </si>
  <si>
    <t>A181-A200</t>
  </si>
  <si>
    <t>AVEI2 341-359</t>
  </si>
  <si>
    <t>AVEI2 341-360</t>
  </si>
  <si>
    <t>AVEI2 401-419</t>
  </si>
  <si>
    <t>AVEI2 301-320</t>
  </si>
  <si>
    <t>AVEI2 281-300</t>
  </si>
  <si>
    <t>AVEI2 241-260</t>
  </si>
  <si>
    <t>AVEI2 361-380</t>
  </si>
  <si>
    <t>AVEI2 221-240</t>
  </si>
  <si>
    <t>AVEI2 201-220</t>
  </si>
  <si>
    <t>AVEI2 321-341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</si>
</sst>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u/>
      <sz val="11"/>
      <color rgb="FF000000"/>
      <name val="Liberation Sans"/>
    </font>
    <font>
      <b/>
      <sz val="11"/>
      <color rgb="FF000000"/>
      <name val="Liberation Sans"/>
    </font>
    <font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Border="0" applyProtection="0">
      <alignment horizontal="center"/>
    </xf>
    <xf numFmtId="0" fontId="4" fillId="0" borderId="0" applyNumberFormat="0" applyBorder="0" applyProtection="0">
      <alignment horizontal="center" textRotation="90"/>
    </xf>
    <xf numFmtId="0" fontId="5" fillId="0" borderId="0" applyNumberFormat="0" applyBorder="0" applyProtection="0"/>
    <xf numFmtId="164" fontId="5" fillId="0" borderId="0" applyBorder="0" applyProtection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  <xf numFmtId="0" fontId="6" fillId="0" borderId="0" xfId="1" applyFont="1" applyAlignment="1">
      <alignment horizontal="left"/>
    </xf>
    <xf numFmtId="0" fontId="3" fillId="0" borderId="0" xfId="1" applyAlignment="1">
      <alignment horizontal="left"/>
    </xf>
    <xf numFmtId="0" fontId="7" fillId="0" borderId="0" xfId="1" applyFont="1" applyAlignment="1">
      <alignment horizontal="left"/>
    </xf>
    <xf numFmtId="0" fontId="3" fillId="0" borderId="1" xfId="1" applyBorder="1" applyAlignment="1">
      <alignment horizontal="left"/>
    </xf>
    <xf numFmtId="0" fontId="0" fillId="0" borderId="0" xfId="0" applyFill="1" applyAlignment="1">
      <alignment horizontal="left"/>
    </xf>
    <xf numFmtId="0" fontId="8" fillId="0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0" fillId="4" borderId="0" xfId="0" applyFill="1"/>
    <xf numFmtId="0" fontId="0" fillId="4" borderId="0" xfId="0" quotePrefix="1" applyFill="1" applyAlignment="1">
      <alignment horizontal="left"/>
    </xf>
    <xf numFmtId="0" fontId="3" fillId="2" borderId="1" xfId="1" applyFill="1" applyBorder="1" applyAlignment="1">
      <alignment horizontal="left"/>
    </xf>
    <xf numFmtId="0" fontId="3" fillId="4" borderId="1" xfId="1" applyFill="1" applyBorder="1" applyAlignment="1">
      <alignment horizontal="left"/>
    </xf>
    <xf numFmtId="0" fontId="3" fillId="4" borderId="1" xfId="1" applyFill="1" applyBorder="1" applyAlignment="1">
      <alignment horizontal="center"/>
    </xf>
    <xf numFmtId="0" fontId="3" fillId="5" borderId="1" xfId="1" applyFill="1" applyBorder="1" applyAlignment="1">
      <alignment horizontal="left"/>
    </xf>
    <xf numFmtId="0" fontId="3" fillId="3" borderId="1" xfId="1" applyFill="1" applyBorder="1" applyAlignment="1">
      <alignment horizontal="left"/>
    </xf>
    <xf numFmtId="0" fontId="3" fillId="6" borderId="1" xfId="1" applyFill="1" applyBorder="1" applyAlignment="1">
      <alignment horizontal="left"/>
    </xf>
    <xf numFmtId="0" fontId="3" fillId="7" borderId="1" xfId="1" applyFill="1" applyBorder="1" applyAlignment="1">
      <alignment horizontal="left"/>
    </xf>
    <xf numFmtId="0" fontId="3" fillId="8" borderId="1" xfId="1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NumberFormat="1" applyAlignment="1">
      <alignment horizontal="left"/>
    </xf>
    <xf numFmtId="0" fontId="0" fillId="4" borderId="0" xfId="0" applyNumberFormat="1" applyFill="1" applyAlignment="1">
      <alignment horizontal="left"/>
    </xf>
  </cellXfs>
  <cellStyles count="6">
    <cellStyle name="Heading" xfId="2"/>
    <cellStyle name="Heading1" xfId="3"/>
    <cellStyle name="Normal" xfId="0" builtinId="0"/>
    <cellStyle name="Result" xfId="4"/>
    <cellStyle name="Result2" xfId="5"/>
    <cellStyle name="Standaard 2" xfId="1"/>
  </cellStyles>
  <dxfs count="4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 de Fouw" id="{B8723C1B-049F-4462-8F51-686D47C89C10}" userId="S::jim.de.fouw@nioz.nl::b393b709-4336-4468-9f6e-ac6ba90627f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rille-l" refreshedDate="46044.482672569444" createdVersion="8" refreshedVersion="6" minRefreshableVersion="3" recordCount="179">
  <cacheSource type="worksheet">
    <worksheetSource ref="B1:E1048576" sheet="seagrass biomass"/>
  </cacheSource>
  <cacheFields count="4">
    <cacheField name="Code" numFmtId="0">
      <sharedItems containsBlank="1"/>
    </cacheField>
    <cacheField name="poskey" numFmtId="0">
      <sharedItems containsString="0" containsBlank="1" containsNumber="1" containsInteger="1" minValue="2025001" maxValue="2025151" count="90">
        <n v="2025010"/>
        <n v="2025113"/>
        <n v="2025115"/>
        <n v="2025116"/>
        <n v="2025117"/>
        <n v="2025119"/>
        <n v="2025011"/>
        <n v="2025120"/>
        <n v="2025121"/>
        <n v="2025122"/>
        <n v="2025123"/>
        <n v="2025124"/>
        <n v="2025125"/>
        <n v="2025126"/>
        <n v="2025127"/>
        <n v="2025128"/>
        <n v="2025012"/>
        <n v="2025130"/>
        <n v="2025132"/>
        <n v="2025133"/>
        <n v="2025134"/>
        <n v="2025137"/>
        <n v="2025138"/>
        <n v="2025013"/>
        <n v="2025140"/>
        <n v="2025141"/>
        <n v="2025142"/>
        <n v="2025148"/>
        <n v="2025149"/>
        <n v="2025014"/>
        <n v="2025150"/>
        <n v="2025151"/>
        <n v="2025015"/>
        <n v="2025016"/>
        <n v="2025017"/>
        <n v="2025018"/>
        <n v="2025019"/>
        <n v="2025021"/>
        <n v="2025022"/>
        <n v="2025023"/>
        <n v="2025024"/>
        <n v="2025025"/>
        <n v="2025026"/>
        <n v="2025027"/>
        <n v="2025028"/>
        <n v="2025029"/>
        <n v="2025030"/>
        <n v="2025031"/>
        <n v="2025034"/>
        <n v="2025035"/>
        <n v="2025036"/>
        <n v="2025037"/>
        <n v="2025038"/>
        <n v="2025003"/>
        <n v="2025040"/>
        <n v="2025004"/>
        <n v="2025005"/>
        <n v="2025006"/>
        <n v="2025007"/>
        <n v="2025081"/>
        <n v="2025082"/>
        <n v="2025084"/>
        <n v="2025085"/>
        <n v="2025086"/>
        <n v="2025087"/>
        <n v="2025088"/>
        <n v="2025089"/>
        <n v="2025008"/>
        <n v="2025091"/>
        <n v="2025092"/>
        <n v="2025093"/>
        <n v="2025009"/>
        <n v="2025032"/>
        <n v="2025033"/>
        <n v="2025001"/>
        <n v="2025002"/>
        <n v="2025020"/>
        <n v="2025039"/>
        <n v="2025114"/>
        <n v="2025135"/>
        <n v="2025131"/>
        <n v="2025136"/>
        <n v="2025111"/>
        <n v="2025139"/>
        <n v="2025129"/>
        <n v="2025112"/>
        <n v="2025090"/>
        <n v="2025083"/>
        <n v="2025118"/>
        <m/>
      </sharedItems>
    </cacheField>
    <cacheField name="AB" numFmtId="0">
      <sharedItems containsBlank="1" count="3">
        <s v="A"/>
        <s v="B"/>
        <m/>
      </sharedItems>
    </cacheField>
    <cacheField name="dry weight (mg)" numFmtId="0">
      <sharedItems containsString="0" containsBlank="1" containsNumber="1" minValue="0" maxValue="3975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s v="10A"/>
    <x v="0"/>
    <x v="0"/>
    <n v="2797"/>
  </r>
  <r>
    <s v="10B"/>
    <x v="0"/>
    <x v="1"/>
    <n v="1048"/>
  </r>
  <r>
    <s v="113AN"/>
    <x v="1"/>
    <x v="0"/>
    <n v="1876"/>
  </r>
  <r>
    <s v="113BN"/>
    <x v="1"/>
    <x v="1"/>
    <n v="608"/>
  </r>
  <r>
    <s v="115AN"/>
    <x v="2"/>
    <x v="0"/>
    <n v="3975.8"/>
  </r>
  <r>
    <s v="115BN"/>
    <x v="2"/>
    <x v="1"/>
    <n v="2080"/>
  </r>
  <r>
    <s v="116AN"/>
    <x v="3"/>
    <x v="0"/>
    <n v="3531"/>
  </r>
  <r>
    <s v="116BN"/>
    <x v="3"/>
    <x v="1"/>
    <n v="2364"/>
  </r>
  <r>
    <s v="117AN"/>
    <x v="4"/>
    <x v="0"/>
    <n v="750"/>
  </r>
  <r>
    <s v="117BN"/>
    <x v="4"/>
    <x v="1"/>
    <n v="345"/>
  </r>
  <r>
    <s v="119A"/>
    <x v="5"/>
    <x v="0"/>
    <n v="754"/>
  </r>
  <r>
    <s v="119B"/>
    <x v="5"/>
    <x v="1"/>
    <n v="582"/>
  </r>
  <r>
    <s v="11A"/>
    <x v="6"/>
    <x v="0"/>
    <n v="3628"/>
  </r>
  <r>
    <s v="11B"/>
    <x v="6"/>
    <x v="1"/>
    <n v="977"/>
  </r>
  <r>
    <s v="120AN"/>
    <x v="7"/>
    <x v="0"/>
    <n v="12"/>
  </r>
  <r>
    <s v="120BN"/>
    <x v="7"/>
    <x v="1"/>
    <n v="118"/>
  </r>
  <r>
    <s v="121AN"/>
    <x v="8"/>
    <x v="0"/>
    <n v="0"/>
  </r>
  <r>
    <s v="121BN"/>
    <x v="8"/>
    <x v="1"/>
    <n v="0"/>
  </r>
  <r>
    <s v="122AN"/>
    <x v="9"/>
    <x v="0"/>
    <n v="2650"/>
  </r>
  <r>
    <s v="122BN"/>
    <x v="9"/>
    <x v="1"/>
    <n v="1147"/>
  </r>
  <r>
    <s v="123AN"/>
    <x v="10"/>
    <x v="0"/>
    <n v="0"/>
  </r>
  <r>
    <s v="123BN"/>
    <x v="10"/>
    <x v="1"/>
    <n v="0"/>
  </r>
  <r>
    <s v="124AN"/>
    <x v="11"/>
    <x v="0"/>
    <n v="2564"/>
  </r>
  <r>
    <s v="124BN"/>
    <x v="11"/>
    <x v="1"/>
    <n v="2102"/>
  </r>
  <r>
    <s v="125AN"/>
    <x v="12"/>
    <x v="0"/>
    <n v="1891"/>
  </r>
  <r>
    <s v="125BN"/>
    <x v="12"/>
    <x v="1"/>
    <n v="891"/>
  </r>
  <r>
    <s v="126AN"/>
    <x v="13"/>
    <x v="0"/>
    <n v="2057"/>
  </r>
  <r>
    <s v="126BN"/>
    <x v="13"/>
    <x v="1"/>
    <n v="1686"/>
  </r>
  <r>
    <s v="127AN"/>
    <x v="14"/>
    <x v="0"/>
    <n v="926"/>
  </r>
  <r>
    <s v="127BN"/>
    <x v="14"/>
    <x v="1"/>
    <n v="1187"/>
  </r>
  <r>
    <s v="128AN"/>
    <x v="15"/>
    <x v="0"/>
    <n v="2434"/>
  </r>
  <r>
    <s v="128BN"/>
    <x v="15"/>
    <x v="1"/>
    <n v="1076"/>
  </r>
  <r>
    <s v="12A"/>
    <x v="16"/>
    <x v="0"/>
    <n v="0"/>
  </r>
  <r>
    <s v="12B"/>
    <x v="16"/>
    <x v="1"/>
    <n v="0"/>
  </r>
  <r>
    <s v="130A"/>
    <x v="17"/>
    <x v="0"/>
    <n v="0"/>
  </r>
  <r>
    <s v="130BN"/>
    <x v="17"/>
    <x v="1"/>
    <n v="125"/>
  </r>
  <r>
    <s v="132AN"/>
    <x v="18"/>
    <x v="0"/>
    <n v="821"/>
  </r>
  <r>
    <s v="132BN"/>
    <x v="18"/>
    <x v="1"/>
    <n v="561"/>
  </r>
  <r>
    <s v="133AN"/>
    <x v="19"/>
    <x v="0"/>
    <n v="951"/>
  </r>
  <r>
    <s v="133BN"/>
    <x v="19"/>
    <x v="1"/>
    <n v="573.5"/>
  </r>
  <r>
    <s v="134AN"/>
    <x v="20"/>
    <x v="0"/>
    <n v="12"/>
  </r>
  <r>
    <s v="134BN"/>
    <x v="20"/>
    <x v="1"/>
    <n v="0"/>
  </r>
  <r>
    <s v="137AN"/>
    <x v="21"/>
    <x v="0"/>
    <n v="1476"/>
  </r>
  <r>
    <s v="137BN"/>
    <x v="21"/>
    <x v="1"/>
    <n v="1194"/>
  </r>
  <r>
    <s v="138AN"/>
    <x v="22"/>
    <x v="0"/>
    <n v="1220"/>
  </r>
  <r>
    <s v="138BN"/>
    <x v="22"/>
    <x v="1"/>
    <n v="2529"/>
  </r>
  <r>
    <s v="13A"/>
    <x v="23"/>
    <x v="0"/>
    <n v="1701"/>
  </r>
  <r>
    <s v="13B"/>
    <x v="23"/>
    <x v="1"/>
    <n v="1821"/>
  </r>
  <r>
    <s v="140AN"/>
    <x v="24"/>
    <x v="0"/>
    <n v="1415"/>
  </r>
  <r>
    <s v="140BN"/>
    <x v="24"/>
    <x v="1"/>
    <n v="833"/>
  </r>
  <r>
    <s v="141AN"/>
    <x v="25"/>
    <x v="0"/>
    <n v="1552"/>
  </r>
  <r>
    <s v="141BN"/>
    <x v="25"/>
    <x v="1"/>
    <n v="561"/>
  </r>
  <r>
    <s v="142AN"/>
    <x v="26"/>
    <x v="0"/>
    <n v="2799"/>
  </r>
  <r>
    <s v="142BN"/>
    <x v="26"/>
    <x v="1"/>
    <n v="1299"/>
  </r>
  <r>
    <s v="148AN"/>
    <x v="27"/>
    <x v="0"/>
    <n v="392"/>
  </r>
  <r>
    <s v="148BN"/>
    <x v="27"/>
    <x v="1"/>
    <n v="156"/>
  </r>
  <r>
    <s v="149AN"/>
    <x v="28"/>
    <x v="0"/>
    <n v="465"/>
  </r>
  <r>
    <s v="149BN"/>
    <x v="28"/>
    <x v="1"/>
    <n v="1025"/>
  </r>
  <r>
    <s v="14A"/>
    <x v="29"/>
    <x v="0"/>
    <n v="0"/>
  </r>
  <r>
    <s v="14B"/>
    <x v="29"/>
    <x v="1"/>
    <n v="0"/>
  </r>
  <r>
    <s v="150AN"/>
    <x v="30"/>
    <x v="0"/>
    <n v="931"/>
  </r>
  <r>
    <s v="150BN"/>
    <x v="30"/>
    <x v="1"/>
    <n v="712"/>
  </r>
  <r>
    <s v="151AN"/>
    <x v="31"/>
    <x v="0"/>
    <n v="510"/>
  </r>
  <r>
    <s v="151BN"/>
    <x v="31"/>
    <x v="1"/>
    <n v="557"/>
  </r>
  <r>
    <s v="15A"/>
    <x v="32"/>
    <x v="0"/>
    <n v="31"/>
  </r>
  <r>
    <s v="15B"/>
    <x v="32"/>
    <x v="1"/>
    <n v="189"/>
  </r>
  <r>
    <s v="16A"/>
    <x v="33"/>
    <x v="0"/>
    <n v="871"/>
  </r>
  <r>
    <s v="16B"/>
    <x v="33"/>
    <x v="1"/>
    <n v="401"/>
  </r>
  <r>
    <s v="17A"/>
    <x v="34"/>
    <x v="0"/>
    <n v="994"/>
  </r>
  <r>
    <s v="17B"/>
    <x v="34"/>
    <x v="1"/>
    <n v="343"/>
  </r>
  <r>
    <s v="18A"/>
    <x v="35"/>
    <x v="0"/>
    <n v="2523"/>
  </r>
  <r>
    <s v="18B"/>
    <x v="35"/>
    <x v="1"/>
    <n v="1219"/>
  </r>
  <r>
    <s v="19A"/>
    <x v="36"/>
    <x v="0"/>
    <n v="2695"/>
  </r>
  <r>
    <s v="19B"/>
    <x v="36"/>
    <x v="1"/>
    <n v="1160"/>
  </r>
  <r>
    <s v="21A"/>
    <x v="37"/>
    <x v="0"/>
    <n v="933"/>
  </r>
  <r>
    <s v="21B"/>
    <x v="37"/>
    <x v="1"/>
    <n v="750"/>
  </r>
  <r>
    <s v="22A"/>
    <x v="38"/>
    <x v="0"/>
    <n v="85"/>
  </r>
  <r>
    <s v="22B"/>
    <x v="38"/>
    <x v="1"/>
    <n v="719"/>
  </r>
  <r>
    <s v="23A"/>
    <x v="39"/>
    <x v="0"/>
    <n v="2790"/>
  </r>
  <r>
    <s v="23B"/>
    <x v="39"/>
    <x v="1"/>
    <n v="888"/>
  </r>
  <r>
    <s v="24A"/>
    <x v="40"/>
    <x v="0"/>
    <n v="2113"/>
  </r>
  <r>
    <s v="24B"/>
    <x v="40"/>
    <x v="1"/>
    <n v="675"/>
  </r>
  <r>
    <s v="25A"/>
    <x v="41"/>
    <x v="0"/>
    <n v="2171"/>
  </r>
  <r>
    <s v="25B"/>
    <x v="41"/>
    <x v="1"/>
    <n v="933"/>
  </r>
  <r>
    <s v="26A"/>
    <x v="42"/>
    <x v="0"/>
    <n v="0"/>
  </r>
  <r>
    <s v="26B"/>
    <x v="42"/>
    <x v="1"/>
    <n v="0"/>
  </r>
  <r>
    <s v="27A"/>
    <x v="43"/>
    <x v="0"/>
    <n v="39"/>
  </r>
  <r>
    <s v="27B"/>
    <x v="43"/>
    <x v="1"/>
    <n v="161"/>
  </r>
  <r>
    <s v="28A"/>
    <x v="44"/>
    <x v="0"/>
    <n v="2715"/>
  </r>
  <r>
    <s v="28B"/>
    <x v="44"/>
    <x v="1"/>
    <n v="1696"/>
  </r>
  <r>
    <s v="29A"/>
    <x v="45"/>
    <x v="0"/>
    <n v="1294"/>
  </r>
  <r>
    <s v="29B"/>
    <x v="45"/>
    <x v="1"/>
    <n v="454"/>
  </r>
  <r>
    <s v="30A"/>
    <x v="46"/>
    <x v="0"/>
    <n v="228"/>
  </r>
  <r>
    <s v="30B"/>
    <x v="46"/>
    <x v="1"/>
    <n v="191"/>
  </r>
  <r>
    <s v="31A"/>
    <x v="47"/>
    <x v="0"/>
    <n v="0"/>
  </r>
  <r>
    <s v="31B"/>
    <x v="47"/>
    <x v="1"/>
    <n v="0"/>
  </r>
  <r>
    <s v="34A"/>
    <x v="48"/>
    <x v="0"/>
    <n v="0"/>
  </r>
  <r>
    <s v="34B"/>
    <x v="48"/>
    <x v="1"/>
    <n v="0"/>
  </r>
  <r>
    <s v="35A"/>
    <x v="49"/>
    <x v="0"/>
    <n v="206.02"/>
  </r>
  <r>
    <s v="35B"/>
    <x v="49"/>
    <x v="1"/>
    <n v="212.4"/>
  </r>
  <r>
    <s v="36A"/>
    <x v="50"/>
    <x v="0"/>
    <n v="645"/>
  </r>
  <r>
    <s v="36B"/>
    <x v="50"/>
    <x v="1"/>
    <n v="607"/>
  </r>
  <r>
    <s v="37A"/>
    <x v="51"/>
    <x v="0"/>
    <n v="1871"/>
  </r>
  <r>
    <s v="37B"/>
    <x v="51"/>
    <x v="1"/>
    <n v="1585"/>
  </r>
  <r>
    <s v="38A"/>
    <x v="52"/>
    <x v="0"/>
    <n v="1642"/>
  </r>
  <r>
    <s v="38B"/>
    <x v="52"/>
    <x v="1"/>
    <n v="1381"/>
  </r>
  <r>
    <s v="3A"/>
    <x v="53"/>
    <x v="0"/>
    <n v="315"/>
  </r>
  <r>
    <s v="3B"/>
    <x v="53"/>
    <x v="1"/>
    <n v="250"/>
  </r>
  <r>
    <s v="40A"/>
    <x v="54"/>
    <x v="0"/>
    <n v="0"/>
  </r>
  <r>
    <s v="40B"/>
    <x v="54"/>
    <x v="1"/>
    <n v="0"/>
  </r>
  <r>
    <s v="4A"/>
    <x v="55"/>
    <x v="0"/>
    <n v="42"/>
  </r>
  <r>
    <s v="4B"/>
    <x v="55"/>
    <x v="1"/>
    <n v="141"/>
  </r>
  <r>
    <s v="5A"/>
    <x v="56"/>
    <x v="0"/>
    <n v="2222"/>
  </r>
  <r>
    <s v="5B"/>
    <x v="56"/>
    <x v="1"/>
    <n v="939"/>
  </r>
  <r>
    <s v="6A"/>
    <x v="57"/>
    <x v="0"/>
    <n v="17"/>
  </r>
  <r>
    <s v="6B"/>
    <x v="57"/>
    <x v="1"/>
    <n v="0"/>
  </r>
  <r>
    <s v="7A"/>
    <x v="58"/>
    <x v="0"/>
    <n v="0"/>
  </r>
  <r>
    <s v="7B"/>
    <x v="58"/>
    <x v="1"/>
    <n v="0"/>
  </r>
  <r>
    <s v="81A"/>
    <x v="59"/>
    <x v="0"/>
    <n v="2745"/>
  </r>
  <r>
    <s v="81B"/>
    <x v="59"/>
    <x v="1"/>
    <n v="1244"/>
  </r>
  <r>
    <s v="82A"/>
    <x v="60"/>
    <x v="0"/>
    <n v="400"/>
  </r>
  <r>
    <s v="82B"/>
    <x v="60"/>
    <x v="1"/>
    <n v="338"/>
  </r>
  <r>
    <s v="84AN"/>
    <x v="61"/>
    <x v="0"/>
    <n v="1514"/>
  </r>
  <r>
    <s v="84BN"/>
    <x v="61"/>
    <x v="1"/>
    <n v="556"/>
  </r>
  <r>
    <s v="85AN"/>
    <x v="62"/>
    <x v="0"/>
    <n v="2566"/>
  </r>
  <r>
    <s v="85BN"/>
    <x v="62"/>
    <x v="1"/>
    <n v="1512"/>
  </r>
  <r>
    <s v="86AN"/>
    <x v="63"/>
    <x v="0"/>
    <n v="3538"/>
  </r>
  <r>
    <s v="86BN"/>
    <x v="63"/>
    <x v="1"/>
    <n v="2263"/>
  </r>
  <r>
    <s v="87AN"/>
    <x v="64"/>
    <x v="0"/>
    <n v="1780"/>
  </r>
  <r>
    <s v="87BN"/>
    <x v="64"/>
    <x v="1"/>
    <n v="1728"/>
  </r>
  <r>
    <s v="88AN"/>
    <x v="65"/>
    <x v="0"/>
    <n v="3113"/>
  </r>
  <r>
    <s v="88BN"/>
    <x v="65"/>
    <x v="1"/>
    <n v="899"/>
  </r>
  <r>
    <s v="89AN"/>
    <x v="66"/>
    <x v="0"/>
    <n v="857"/>
  </r>
  <r>
    <s v="89BN"/>
    <x v="66"/>
    <x v="1"/>
    <n v="705"/>
  </r>
  <r>
    <s v="8A"/>
    <x v="67"/>
    <x v="0"/>
    <n v="2418"/>
  </r>
  <r>
    <s v="8B"/>
    <x v="67"/>
    <x v="1"/>
    <n v="1706"/>
  </r>
  <r>
    <s v="91AN"/>
    <x v="68"/>
    <x v="0"/>
    <n v="1230"/>
  </r>
  <r>
    <s v="91BN"/>
    <x v="68"/>
    <x v="1"/>
    <n v="990"/>
  </r>
  <r>
    <s v="92AN"/>
    <x v="69"/>
    <x v="0"/>
    <n v="992"/>
  </r>
  <r>
    <s v="92BN"/>
    <x v="69"/>
    <x v="1"/>
    <n v="377"/>
  </r>
  <r>
    <s v="93AN"/>
    <x v="70"/>
    <x v="0"/>
    <n v="1076"/>
  </r>
  <r>
    <s v="93BN"/>
    <x v="70"/>
    <x v="1"/>
    <n v="803"/>
  </r>
  <r>
    <s v="9A"/>
    <x v="71"/>
    <x v="0"/>
    <n v="1377"/>
  </r>
  <r>
    <s v="9B"/>
    <x v="71"/>
    <x v="1"/>
    <n v="1864"/>
  </r>
  <r>
    <m/>
    <x v="72"/>
    <x v="0"/>
    <n v="0"/>
  </r>
  <r>
    <m/>
    <x v="72"/>
    <x v="1"/>
    <n v="0"/>
  </r>
  <r>
    <m/>
    <x v="73"/>
    <x v="0"/>
    <n v="0"/>
  </r>
  <r>
    <m/>
    <x v="73"/>
    <x v="1"/>
    <n v="0"/>
  </r>
  <r>
    <m/>
    <x v="74"/>
    <x v="0"/>
    <n v="0"/>
  </r>
  <r>
    <m/>
    <x v="74"/>
    <x v="1"/>
    <n v="0"/>
  </r>
  <r>
    <m/>
    <x v="75"/>
    <x v="0"/>
    <n v="0"/>
  </r>
  <r>
    <m/>
    <x v="75"/>
    <x v="1"/>
    <n v="0"/>
  </r>
  <r>
    <m/>
    <x v="76"/>
    <x v="0"/>
    <n v="0"/>
  </r>
  <r>
    <m/>
    <x v="76"/>
    <x v="1"/>
    <n v="0"/>
  </r>
  <r>
    <m/>
    <x v="77"/>
    <x v="0"/>
    <n v="0"/>
  </r>
  <r>
    <m/>
    <x v="77"/>
    <x v="1"/>
    <n v="0"/>
  </r>
  <r>
    <m/>
    <x v="78"/>
    <x v="0"/>
    <n v="0"/>
  </r>
  <r>
    <m/>
    <x v="78"/>
    <x v="1"/>
    <n v="0"/>
  </r>
  <r>
    <m/>
    <x v="79"/>
    <x v="0"/>
    <n v="0"/>
  </r>
  <r>
    <m/>
    <x v="79"/>
    <x v="1"/>
    <n v="0"/>
  </r>
  <r>
    <m/>
    <x v="80"/>
    <x v="0"/>
    <n v="1040"/>
  </r>
  <r>
    <m/>
    <x v="80"/>
    <x v="1"/>
    <n v="1642"/>
  </r>
  <r>
    <m/>
    <x v="81"/>
    <x v="0"/>
    <n v="1396"/>
  </r>
  <r>
    <m/>
    <x v="81"/>
    <x v="1"/>
    <n v="916"/>
  </r>
  <r>
    <m/>
    <x v="82"/>
    <x v="0"/>
    <n v="1483"/>
  </r>
  <r>
    <m/>
    <x v="82"/>
    <x v="1"/>
    <n v="770"/>
  </r>
  <r>
    <m/>
    <x v="83"/>
    <x v="0"/>
    <n v="780"/>
  </r>
  <r>
    <m/>
    <x v="83"/>
    <x v="1"/>
    <n v="557"/>
  </r>
  <r>
    <m/>
    <x v="84"/>
    <x v="0"/>
    <n v="1517"/>
  </r>
  <r>
    <m/>
    <x v="84"/>
    <x v="1"/>
    <n v="811"/>
  </r>
  <r>
    <m/>
    <x v="85"/>
    <x v="0"/>
    <n v="718"/>
  </r>
  <r>
    <m/>
    <x v="85"/>
    <x v="1"/>
    <n v="512"/>
  </r>
  <r>
    <m/>
    <x v="86"/>
    <x v="0"/>
    <n v="1103"/>
  </r>
  <r>
    <m/>
    <x v="86"/>
    <x v="1"/>
    <n v="813"/>
  </r>
  <r>
    <m/>
    <x v="87"/>
    <x v="0"/>
    <n v="717"/>
  </r>
  <r>
    <m/>
    <x v="87"/>
    <x v="1"/>
    <n v="835"/>
  </r>
  <r>
    <m/>
    <x v="88"/>
    <x v="0"/>
    <n v="1378"/>
  </r>
  <r>
    <m/>
    <x v="88"/>
    <x v="1"/>
    <n v="929"/>
  </r>
  <r>
    <m/>
    <x v="89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raaitabel1" cacheId="8" applyNumberFormats="0" applyBorderFormats="0" applyFontFormats="0" applyPatternFormats="0" applyAlignmentFormats="0" applyWidthHeightFormats="1" dataCaption="Waarden" updatedVersion="6" minRefreshableVersion="3" useAutoFormatting="1" itemPrintTitles="1" createdVersion="8" indent="0" outline="1" outlineData="1" multipleFieldFilters="0">
  <location ref="G1:K93" firstHeaderRow="1" firstDataRow="2" firstDataCol="1"/>
  <pivotFields count="4">
    <pivotField showAll="0"/>
    <pivotField axis="axisRow" showAll="0">
      <items count="91">
        <item x="53"/>
        <item x="55"/>
        <item x="56"/>
        <item x="57"/>
        <item x="58"/>
        <item x="67"/>
        <item x="71"/>
        <item x="0"/>
        <item x="6"/>
        <item x="16"/>
        <item x="23"/>
        <item x="29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9"/>
        <item x="60"/>
        <item x="61"/>
        <item x="62"/>
        <item x="63"/>
        <item x="64"/>
        <item x="65"/>
        <item x="66"/>
        <item x="68"/>
        <item x="69"/>
        <item x="7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4"/>
        <item x="25"/>
        <item x="26"/>
        <item x="27"/>
        <item x="28"/>
        <item x="30"/>
        <item x="31"/>
        <item x="8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dry weight (mg)" fld="3" subtotal="average" baseField="1" baseItem="0"/>
  </dataFields>
  <formats count="15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  <format dxfId="33">
      <pivotArea dataOnly="0" fieldPosition="0">
        <references count="1">
          <reference field="1" count="1">
            <x v="0"/>
          </reference>
        </references>
      </pivotArea>
    </format>
    <format dxfId="32">
      <pivotArea collapsedLevelsAreSubtotals="1" fieldPosition="0">
        <references count="1">
          <reference field="1" count="1">
            <x v="0"/>
          </reference>
        </references>
      </pivotArea>
    </format>
    <format dxfId="31">
      <pivotArea dataOnly="0" labelOnly="1" fieldPosition="0">
        <references count="1">
          <reference field="1" count="1">
            <x v="0"/>
          </reference>
        </references>
      </pivotArea>
    </format>
    <format dxfId="30">
      <pivotArea dataOnly="0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5-11-11T13:51:50.80" personId="{B8723C1B-049F-4462-8F51-686D47C89C10}" id="{50A84D78-0949-442C-8B45-B42A1C631C90}">
    <text>Location just on dyke, adjusted few meters to east</text>
  </threadedComment>
  <threadedComment ref="E7" dT="2025-11-11T13:51:57.15" personId="{B8723C1B-049F-4462-8F51-686D47C89C10}" id="{B1E548A4-451D-442C-8170-46B83715A7EA}">
    <text>Location just on dyke, adjusted few meters to east</text>
  </threadedComment>
  <threadedComment ref="G11" dT="2025-11-12T08:33:10.96" personId="{B8723C1B-049F-4462-8F51-686D47C89C10}" id="{750D5695-E24D-437A-86B5-81CD1CFB106D}">
    <text>?check booklet</text>
  </threadedComment>
  <threadedComment ref="G19" dT="2025-11-12T08:33:35.24" personId="{B8723C1B-049F-4462-8F51-686D47C89C10}" id="{E50ACC29-A39A-45E8-99D8-DB2F209B5289}">
    <text>No number in booklet</text>
  </threadedComment>
  <threadedComment ref="G40" dT="2025-11-12T08:34:44.84" personId="{B8723C1B-049F-4462-8F51-686D47C89C10}" id="{E989AD93-086E-4B84-BCB0-75F70F31E996}">
    <text>No number in booklet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8.7109375" style="2"/>
    <col min="6" max="7" width="15.5703125" style="2" customWidth="1"/>
    <col min="8" max="8" width="17.140625" style="2" customWidth="1"/>
    <col min="9" max="9" width="13.28515625" style="5" customWidth="1"/>
    <col min="10" max="12" width="15.42578125" style="5" customWidth="1"/>
    <col min="13" max="13" width="21.42578125" style="2" customWidth="1"/>
    <col min="14" max="14" width="16" style="2" customWidth="1"/>
    <col min="15" max="15" width="27.5703125" style="2" customWidth="1"/>
    <col min="16" max="16" width="15.85546875" style="2" customWidth="1"/>
    <col min="17" max="16384" width="8.7109375" style="2"/>
  </cols>
  <sheetData>
    <row r="1" spans="1:15" s="1" customFormat="1" x14ac:dyDescent="0.25">
      <c r="A1" s="1" t="s">
        <v>0</v>
      </c>
      <c r="B1" s="1" t="s">
        <v>1</v>
      </c>
      <c r="C1" s="1" t="s">
        <v>108</v>
      </c>
      <c r="D1" s="1" t="s">
        <v>61</v>
      </c>
      <c r="E1" s="1" t="s">
        <v>60</v>
      </c>
      <c r="F1" s="1" t="s">
        <v>55</v>
      </c>
      <c r="G1" s="1" t="s">
        <v>127</v>
      </c>
      <c r="H1" s="1" t="s">
        <v>128</v>
      </c>
      <c r="I1" s="3" t="s">
        <v>378</v>
      </c>
      <c r="J1" s="3" t="s">
        <v>371</v>
      </c>
      <c r="K1" s="3" t="s">
        <v>372</v>
      </c>
      <c r="L1" s="3" t="s">
        <v>387</v>
      </c>
      <c r="M1" s="1" t="s">
        <v>113</v>
      </c>
      <c r="N1" s="1" t="s">
        <v>114</v>
      </c>
      <c r="O1" s="1" t="s">
        <v>59</v>
      </c>
    </row>
    <row r="2" spans="1:15" x14ac:dyDescent="0.25">
      <c r="A2" s="2" t="s">
        <v>111</v>
      </c>
      <c r="B2" s="2" t="s">
        <v>26</v>
      </c>
      <c r="C2" s="2" t="s">
        <v>109</v>
      </c>
      <c r="D2" s="2">
        <v>-8.6904504492988384</v>
      </c>
      <c r="E2" s="2">
        <v>40.672105768584252</v>
      </c>
      <c r="F2" s="2">
        <v>2025001</v>
      </c>
      <c r="G2" s="2" t="s">
        <v>388</v>
      </c>
      <c r="H2" s="2" t="s">
        <v>132</v>
      </c>
      <c r="I2" s="5" t="s">
        <v>377</v>
      </c>
      <c r="J2" s="5">
        <f>VLOOKUP($F2,'seagrass biomass'!$G:$L,2,FALSE)</f>
        <v>0</v>
      </c>
      <c r="K2" s="5">
        <f>VLOOKUP($F2,'seagrass biomass'!$G:$L,3,FALSE)</f>
        <v>0</v>
      </c>
      <c r="L2" s="5" t="s">
        <v>386</v>
      </c>
    </row>
    <row r="3" spans="1:15" x14ac:dyDescent="0.25">
      <c r="A3" s="2" t="s">
        <v>112</v>
      </c>
      <c r="B3" s="2" t="s">
        <v>48</v>
      </c>
      <c r="C3" s="2" t="s">
        <v>109</v>
      </c>
      <c r="D3" s="2">
        <v>-8.6905031982786536</v>
      </c>
      <c r="E3" s="2">
        <v>40.672359702115187</v>
      </c>
      <c r="F3" s="2">
        <v>2025002</v>
      </c>
      <c r="G3" s="2" t="s">
        <v>389</v>
      </c>
      <c r="H3" s="2" t="s">
        <v>162</v>
      </c>
      <c r="I3" s="5" t="s">
        <v>379</v>
      </c>
      <c r="J3" s="5">
        <f>VLOOKUP($F3,'seagrass biomass'!$G:$L,2,FALSE)</f>
        <v>0</v>
      </c>
      <c r="K3" s="5">
        <f>VLOOKUP($F3,'seagrass biomass'!$G:$L,3,FALSE)</f>
        <v>0</v>
      </c>
      <c r="L3" s="5" t="s">
        <v>386</v>
      </c>
    </row>
    <row r="4" spans="1:15" x14ac:dyDescent="0.25">
      <c r="A4" s="2" t="s">
        <v>111</v>
      </c>
      <c r="B4" s="2" t="s">
        <v>18</v>
      </c>
      <c r="C4" s="2" t="s">
        <v>109</v>
      </c>
      <c r="D4" s="2">
        <v>-8.6909022956039852</v>
      </c>
      <c r="E4" s="2">
        <v>40.672396514158152</v>
      </c>
      <c r="F4" s="2">
        <v>2025003</v>
      </c>
      <c r="G4" s="2" t="s">
        <v>390</v>
      </c>
      <c r="H4" s="2" t="s">
        <v>133</v>
      </c>
      <c r="I4" s="5" t="s">
        <v>379</v>
      </c>
      <c r="J4" s="5">
        <f>VLOOKUP($F4,'seagrass biomass'!$G:$L,2,FALSE)</f>
        <v>315</v>
      </c>
      <c r="K4" s="5">
        <f>VLOOKUP($F4,'seagrass biomass'!$G:$L,3,FALSE)</f>
        <v>250</v>
      </c>
      <c r="L4" s="5" t="s">
        <v>386</v>
      </c>
      <c r="M4" s="2" t="s">
        <v>439</v>
      </c>
      <c r="N4" s="2" t="s">
        <v>439</v>
      </c>
    </row>
    <row r="5" spans="1:15" x14ac:dyDescent="0.25">
      <c r="A5" s="2" t="s">
        <v>111</v>
      </c>
      <c r="B5" s="2" t="s">
        <v>10</v>
      </c>
      <c r="C5" s="2" t="s">
        <v>109</v>
      </c>
      <c r="D5" s="2">
        <v>-8.6913541458376908</v>
      </c>
      <c r="E5" s="2">
        <v>40.672687257963432</v>
      </c>
      <c r="F5" s="2">
        <v>2025004</v>
      </c>
      <c r="G5" s="2" t="s">
        <v>391</v>
      </c>
      <c r="H5" s="2" t="s">
        <v>134</v>
      </c>
      <c r="I5" s="5" t="s">
        <v>379</v>
      </c>
      <c r="J5" s="5">
        <f>VLOOKUP($F5,'seagrass biomass'!$G:$L,2,FALSE)</f>
        <v>42</v>
      </c>
      <c r="K5" s="5">
        <f>VLOOKUP($F5,'seagrass biomass'!$G:$L,3,FALSE)</f>
        <v>141</v>
      </c>
      <c r="L5" s="5" t="s">
        <v>386</v>
      </c>
    </row>
    <row r="6" spans="1:15" x14ac:dyDescent="0.25">
      <c r="A6" s="2" t="s">
        <v>111</v>
      </c>
      <c r="B6" s="2" t="s">
        <v>2</v>
      </c>
      <c r="C6" s="2" t="s">
        <v>109</v>
      </c>
      <c r="D6" s="12">
        <v>-8.6918059999999997</v>
      </c>
      <c r="E6" s="12">
        <v>40.672977999999993</v>
      </c>
      <c r="F6" s="2">
        <v>2025005</v>
      </c>
      <c r="G6" s="2" t="s">
        <v>392</v>
      </c>
      <c r="H6" s="2" t="s">
        <v>135</v>
      </c>
      <c r="I6" s="5" t="s">
        <v>379</v>
      </c>
      <c r="J6" s="5">
        <f>VLOOKUP($F6,'seagrass biomass'!$G:$L,2,FALSE)</f>
        <v>2222</v>
      </c>
      <c r="K6" s="5">
        <f>VLOOKUP($F6,'seagrass biomass'!$G:$L,3,FALSE)</f>
        <v>939</v>
      </c>
      <c r="L6" s="5" t="s">
        <v>386</v>
      </c>
    </row>
    <row r="7" spans="1:15" x14ac:dyDescent="0.25">
      <c r="A7" s="2" t="s">
        <v>111</v>
      </c>
      <c r="B7" s="2" t="s">
        <v>3</v>
      </c>
      <c r="C7" s="2" t="s">
        <v>109</v>
      </c>
      <c r="D7" s="12">
        <v>-8.6914241383270223</v>
      </c>
      <c r="E7" s="12">
        <v>40.673322034524048</v>
      </c>
      <c r="F7" s="2">
        <v>2025006</v>
      </c>
      <c r="G7" s="2" t="s">
        <v>393</v>
      </c>
      <c r="H7" s="2" t="s">
        <v>136</v>
      </c>
      <c r="I7" s="5" t="s">
        <v>376</v>
      </c>
      <c r="J7" s="5">
        <f>VLOOKUP($F7,'seagrass biomass'!$G:$L,2,FALSE)</f>
        <v>17</v>
      </c>
      <c r="K7" s="5">
        <f>VLOOKUP($F7,'seagrass biomass'!$G:$L,3,FALSE)</f>
        <v>0</v>
      </c>
      <c r="L7" s="5" t="s">
        <v>386</v>
      </c>
    </row>
    <row r="8" spans="1:15" x14ac:dyDescent="0.25">
      <c r="A8" s="2" t="s">
        <v>111</v>
      </c>
      <c r="B8" s="2" t="s">
        <v>11</v>
      </c>
      <c r="C8" s="2" t="s">
        <v>109</v>
      </c>
      <c r="D8" s="2">
        <v>-8.6909722835196561</v>
      </c>
      <c r="E8" s="2">
        <v>40.67303129100803</v>
      </c>
      <c r="F8" s="2">
        <v>2025007</v>
      </c>
      <c r="G8" s="2" t="s">
        <v>394</v>
      </c>
      <c r="H8" s="2" t="s">
        <v>137</v>
      </c>
      <c r="I8" s="5" t="s">
        <v>377</v>
      </c>
      <c r="J8" s="5">
        <f>VLOOKUP($F8,'seagrass biomass'!$G:$L,2,FALSE)</f>
        <v>0</v>
      </c>
      <c r="K8" s="5">
        <f>VLOOKUP($F8,'seagrass biomass'!$G:$L,3,FALSE)</f>
        <v>0</v>
      </c>
      <c r="L8" s="5" t="s">
        <v>386</v>
      </c>
    </row>
    <row r="9" spans="1:15" x14ac:dyDescent="0.25">
      <c r="A9" s="2" t="s">
        <v>112</v>
      </c>
      <c r="B9" s="2" t="s">
        <v>42</v>
      </c>
      <c r="C9" s="2" t="s">
        <v>109</v>
      </c>
      <c r="D9" s="2">
        <v>-8.6906445798939327</v>
      </c>
      <c r="E9" s="2">
        <v>40.672993869562987</v>
      </c>
      <c r="F9" s="2">
        <v>2025008</v>
      </c>
      <c r="G9" s="2" t="s">
        <v>395</v>
      </c>
      <c r="H9" s="2" t="s">
        <v>138</v>
      </c>
      <c r="I9" s="5" t="s">
        <v>379</v>
      </c>
      <c r="J9" s="5">
        <f>VLOOKUP($F9,'seagrass biomass'!$G:$L,2,FALSE)</f>
        <v>2418</v>
      </c>
      <c r="K9" s="5">
        <f>VLOOKUP($F9,'seagrass biomass'!$G:$L,3,FALSE)</f>
        <v>1706</v>
      </c>
      <c r="L9" s="5" t="s">
        <v>386</v>
      </c>
    </row>
    <row r="10" spans="1:15" x14ac:dyDescent="0.25">
      <c r="A10" s="2" t="s">
        <v>112</v>
      </c>
      <c r="B10" s="2" t="s">
        <v>41</v>
      </c>
      <c r="C10" s="2" t="s">
        <v>109</v>
      </c>
      <c r="D10" s="2">
        <v>-8.6908497844413599</v>
      </c>
      <c r="E10" s="2">
        <v>40.672778324977287</v>
      </c>
      <c r="F10" s="2">
        <v>2025009</v>
      </c>
      <c r="G10" s="2" t="s">
        <v>396</v>
      </c>
      <c r="H10" s="2" t="s">
        <v>139</v>
      </c>
      <c r="I10" s="5" t="s">
        <v>379</v>
      </c>
      <c r="J10" s="5">
        <f>VLOOKUP($F10,'seagrass biomass'!$G:$L,2,FALSE)</f>
        <v>1377</v>
      </c>
      <c r="K10" s="5">
        <f>VLOOKUP($F10,'seagrass biomass'!$G:$L,3,FALSE)</f>
        <v>1864</v>
      </c>
      <c r="L10" s="5" t="s">
        <v>386</v>
      </c>
    </row>
    <row r="11" spans="1:15" x14ac:dyDescent="0.25">
      <c r="A11" s="2" t="s">
        <v>111</v>
      </c>
      <c r="B11" s="2" t="s">
        <v>19</v>
      </c>
      <c r="C11" s="2" t="s">
        <v>109</v>
      </c>
      <c r="D11" s="2">
        <v>-8.6905204326409766</v>
      </c>
      <c r="E11" s="2">
        <v>40.672740545723308</v>
      </c>
      <c r="F11" s="2">
        <v>2025010</v>
      </c>
      <c r="G11" s="11">
        <v>2025049</v>
      </c>
      <c r="H11" s="2" t="s">
        <v>140</v>
      </c>
      <c r="I11" s="5" t="s">
        <v>379</v>
      </c>
      <c r="J11" s="5">
        <f>VLOOKUP($F11,'seagrass biomass'!$G:$L,2,FALSE)</f>
        <v>2797</v>
      </c>
      <c r="K11" s="5">
        <f>VLOOKUP($F11,'seagrass biomass'!$G:$L,3,FALSE)</f>
        <v>1048</v>
      </c>
      <c r="L11" s="5" t="s">
        <v>386</v>
      </c>
    </row>
    <row r="12" spans="1:15" x14ac:dyDescent="0.25">
      <c r="A12" s="2" t="s">
        <v>112</v>
      </c>
      <c r="B12" s="2" t="s">
        <v>49</v>
      </c>
      <c r="C12" s="2" t="s">
        <v>109</v>
      </c>
      <c r="D12" s="2">
        <v>-8.6902337000490792</v>
      </c>
      <c r="E12" s="2">
        <v>40.672736849908127</v>
      </c>
      <c r="F12" s="2">
        <v>2025011</v>
      </c>
      <c r="G12" s="2" t="s">
        <v>397</v>
      </c>
      <c r="H12" s="2" t="s">
        <v>141</v>
      </c>
      <c r="I12" s="5" t="s">
        <v>379</v>
      </c>
      <c r="J12" s="5">
        <f>VLOOKUP($F12,'seagrass biomass'!$G:$L,2,FALSE)</f>
        <v>3628</v>
      </c>
      <c r="K12" s="5">
        <f>VLOOKUP($F12,'seagrass biomass'!$G:$L,3,FALSE)</f>
        <v>977</v>
      </c>
      <c r="L12" s="5" t="s">
        <v>386</v>
      </c>
    </row>
    <row r="13" spans="1:15" x14ac:dyDescent="0.25">
      <c r="A13" s="2" t="s">
        <v>112</v>
      </c>
      <c r="B13" s="2" t="s">
        <v>50</v>
      </c>
      <c r="C13" s="2" t="s">
        <v>109</v>
      </c>
      <c r="D13" s="2">
        <v>-8.6897935727161784</v>
      </c>
      <c r="E13" s="2">
        <v>40.672959682101009</v>
      </c>
      <c r="F13" s="2">
        <v>2025012</v>
      </c>
      <c r="G13" s="2" t="s">
        <v>398</v>
      </c>
      <c r="H13" s="2" t="s">
        <v>142</v>
      </c>
      <c r="I13" s="5" t="s">
        <v>376</v>
      </c>
      <c r="J13" s="5">
        <f>VLOOKUP($F13,'seagrass biomass'!$G:$L,2,FALSE)</f>
        <v>0</v>
      </c>
      <c r="K13" s="5">
        <f>VLOOKUP($F13,'seagrass biomass'!$G:$L,3,FALSE)</f>
        <v>0</v>
      </c>
      <c r="L13" s="5" t="s">
        <v>386</v>
      </c>
    </row>
    <row r="14" spans="1:15" x14ac:dyDescent="0.25">
      <c r="A14" s="2" t="s">
        <v>111</v>
      </c>
      <c r="B14" s="2" t="s">
        <v>20</v>
      </c>
      <c r="C14" s="2" t="s">
        <v>109</v>
      </c>
      <c r="D14" s="2">
        <v>-8.6901385657493293</v>
      </c>
      <c r="E14" s="2">
        <v>40.673084575990693</v>
      </c>
      <c r="F14" s="2">
        <v>2025013</v>
      </c>
      <c r="G14" s="2" t="s">
        <v>399</v>
      </c>
      <c r="H14" s="2" t="s">
        <v>143</v>
      </c>
      <c r="I14" s="5" t="s">
        <v>379</v>
      </c>
      <c r="J14" s="5">
        <f>VLOOKUP($F14,'seagrass biomass'!$G:$L,2,FALSE)</f>
        <v>1701</v>
      </c>
      <c r="K14" s="5">
        <f>VLOOKUP($F14,'seagrass biomass'!$G:$L,3,FALSE)</f>
        <v>1821</v>
      </c>
      <c r="L14" s="5" t="s">
        <v>386</v>
      </c>
    </row>
    <row r="15" spans="1:15" x14ac:dyDescent="0.25">
      <c r="A15" s="2" t="s">
        <v>111</v>
      </c>
      <c r="B15" s="2" t="s">
        <v>12</v>
      </c>
      <c r="C15" s="2" t="s">
        <v>109</v>
      </c>
      <c r="D15" s="2">
        <v>-8.6905904172729436</v>
      </c>
      <c r="E15" s="2">
        <v>40.673375322754858</v>
      </c>
      <c r="F15" s="2">
        <v>2025014</v>
      </c>
      <c r="G15" s="2" t="s">
        <v>400</v>
      </c>
      <c r="H15" s="2" t="s">
        <v>144</v>
      </c>
      <c r="I15" s="5" t="s">
        <v>377</v>
      </c>
      <c r="J15" s="5">
        <f>VLOOKUP($F15,'seagrass biomass'!$G:$L,2,FALSE)</f>
        <v>0</v>
      </c>
      <c r="K15" s="5">
        <f>VLOOKUP($F15,'seagrass biomass'!$G:$L,3,FALSE)</f>
        <v>0</v>
      </c>
      <c r="L15" s="5" t="s">
        <v>386</v>
      </c>
    </row>
    <row r="16" spans="1:15" x14ac:dyDescent="0.25">
      <c r="A16" s="2" t="s">
        <v>112</v>
      </c>
      <c r="B16" s="2" t="s">
        <v>35</v>
      </c>
      <c r="C16" s="2" t="s">
        <v>109</v>
      </c>
      <c r="D16" s="2">
        <v>-8.6906575119461831</v>
      </c>
      <c r="E16" s="2">
        <v>40.673319516949107</v>
      </c>
      <c r="F16" s="2">
        <v>2025015</v>
      </c>
      <c r="G16" s="2" t="s">
        <v>401</v>
      </c>
      <c r="H16" s="2" t="s">
        <v>145</v>
      </c>
      <c r="I16" s="5" t="s">
        <v>377</v>
      </c>
      <c r="J16" s="5">
        <f>VLOOKUP($F16,'seagrass biomass'!$G:$L,2,FALSE)</f>
        <v>31</v>
      </c>
      <c r="K16" s="5">
        <f>VLOOKUP($F16,'seagrass biomass'!$G:$L,3,FALSE)</f>
        <v>189</v>
      </c>
      <c r="L16" s="5" t="s">
        <v>386</v>
      </c>
    </row>
    <row r="17" spans="1:15" x14ac:dyDescent="0.25">
      <c r="A17" s="2" t="s">
        <v>111</v>
      </c>
      <c r="B17" s="2" t="s">
        <v>4</v>
      </c>
      <c r="C17" s="2" t="s">
        <v>109</v>
      </c>
      <c r="D17" s="2">
        <v>-8.6910422727253138</v>
      </c>
      <c r="E17" s="2">
        <v>40.673666067750403</v>
      </c>
      <c r="F17" s="2">
        <v>2025016</v>
      </c>
      <c r="G17" s="2" t="s">
        <v>402</v>
      </c>
      <c r="H17" s="2" t="s">
        <v>146</v>
      </c>
      <c r="I17" s="5" t="s">
        <v>379</v>
      </c>
      <c r="J17" s="5">
        <f>VLOOKUP($F17,'seagrass biomass'!$G:$L,2,FALSE)</f>
        <v>871</v>
      </c>
      <c r="K17" s="5">
        <f>VLOOKUP($F17,'seagrass biomass'!$G:$L,3,FALSE)</f>
        <v>401</v>
      </c>
      <c r="L17" s="5" t="s">
        <v>386</v>
      </c>
      <c r="O17" s="2" t="s">
        <v>58</v>
      </c>
    </row>
    <row r="18" spans="1:15" x14ac:dyDescent="0.25">
      <c r="A18" s="2" t="s">
        <v>111</v>
      </c>
      <c r="B18" s="2" t="s">
        <v>5</v>
      </c>
      <c r="C18" s="2" t="s">
        <v>109</v>
      </c>
      <c r="D18" s="2">
        <v>-8.6906604031948032</v>
      </c>
      <c r="E18" s="2">
        <v>40.674010099678952</v>
      </c>
      <c r="F18" s="2">
        <v>2025017</v>
      </c>
      <c r="G18" s="2" t="s">
        <v>403</v>
      </c>
      <c r="H18" s="2" t="s">
        <v>147</v>
      </c>
      <c r="I18" s="5" t="s">
        <v>379</v>
      </c>
      <c r="J18" s="5">
        <f>VLOOKUP($F18,'seagrass biomass'!$G:$L,2,FALSE)</f>
        <v>994</v>
      </c>
      <c r="K18" s="5">
        <f>VLOOKUP($F18,'seagrass biomass'!$G:$L,3,FALSE)</f>
        <v>343</v>
      </c>
      <c r="L18" s="5" t="s">
        <v>386</v>
      </c>
    </row>
    <row r="19" spans="1:15" x14ac:dyDescent="0.25">
      <c r="A19" s="2" t="s">
        <v>112</v>
      </c>
      <c r="B19" s="2" t="s">
        <v>36</v>
      </c>
      <c r="C19" s="2" t="s">
        <v>109</v>
      </c>
      <c r="D19" s="2">
        <v>-8.6905264720769217</v>
      </c>
      <c r="E19" s="2">
        <v>40.673643700012917</v>
      </c>
      <c r="F19" s="2">
        <v>2025018</v>
      </c>
      <c r="G19" s="11" t="s">
        <v>404</v>
      </c>
      <c r="H19" s="2" t="s">
        <v>148</v>
      </c>
      <c r="I19" s="5" t="s">
        <v>379</v>
      </c>
      <c r="J19" s="5">
        <f>VLOOKUP($F19,'seagrass biomass'!$G:$L,2,FALSE)</f>
        <v>2523</v>
      </c>
      <c r="K19" s="5">
        <f>VLOOKUP($F19,'seagrass biomass'!$G:$L,3,FALSE)</f>
        <v>1219</v>
      </c>
      <c r="L19" s="5" t="s">
        <v>386</v>
      </c>
    </row>
    <row r="20" spans="1:15" x14ac:dyDescent="0.25">
      <c r="A20" s="2" t="s">
        <v>111</v>
      </c>
      <c r="B20" s="15" t="s">
        <v>13</v>
      </c>
      <c r="C20" s="15" t="s">
        <v>109</v>
      </c>
      <c r="D20" s="15">
        <v>-8.6902085470974679</v>
      </c>
      <c r="E20" s="15">
        <v>40.673719353203907</v>
      </c>
      <c r="F20" s="15">
        <v>2025019</v>
      </c>
      <c r="G20" s="15" t="s">
        <v>405</v>
      </c>
      <c r="H20" s="15" t="s">
        <v>129</v>
      </c>
      <c r="I20" s="16" t="s">
        <v>379</v>
      </c>
      <c r="J20" s="16">
        <f>VLOOKUP($F20,'seagrass biomass'!$G:$L,2,FALSE)</f>
        <v>2695</v>
      </c>
      <c r="K20" s="16">
        <f>VLOOKUP($F20,'seagrass biomass'!$G:$L,3,FALSE)</f>
        <v>1160</v>
      </c>
      <c r="L20" s="16" t="s">
        <v>386</v>
      </c>
      <c r="M20" s="15">
        <v>96</v>
      </c>
      <c r="N20" s="17" t="s">
        <v>440</v>
      </c>
      <c r="O20" s="2" t="s">
        <v>122</v>
      </c>
    </row>
    <row r="21" spans="1:15" x14ac:dyDescent="0.25">
      <c r="A21" s="2" t="s">
        <v>111</v>
      </c>
      <c r="B21" s="2" t="s">
        <v>22</v>
      </c>
      <c r="C21" s="2" t="s">
        <v>109</v>
      </c>
      <c r="D21" s="2">
        <v>-8.6893748201798182</v>
      </c>
      <c r="E21" s="2">
        <v>40.673772632631923</v>
      </c>
      <c r="F21" s="2">
        <v>2025020</v>
      </c>
      <c r="G21" s="2" t="s">
        <v>406</v>
      </c>
      <c r="H21" s="2" t="s">
        <v>149</v>
      </c>
      <c r="I21" s="5" t="s">
        <v>376</v>
      </c>
      <c r="J21" s="5">
        <f>VLOOKUP($F21,'seagrass biomass'!$G:$L,2,FALSE)</f>
        <v>0</v>
      </c>
      <c r="K21" s="5">
        <f>VLOOKUP($F21,'seagrass biomass'!$G:$L,3,FALSE)</f>
        <v>0</v>
      </c>
      <c r="L21" s="5" t="s">
        <v>386</v>
      </c>
    </row>
    <row r="22" spans="1:15" x14ac:dyDescent="0.25">
      <c r="A22" s="2" t="s">
        <v>112</v>
      </c>
      <c r="B22" s="2" t="s">
        <v>44</v>
      </c>
      <c r="C22" s="2" t="s">
        <v>109</v>
      </c>
      <c r="D22" s="2">
        <v>-8.6895451211177956</v>
      </c>
      <c r="E22" s="2">
        <v>40.673856387448993</v>
      </c>
      <c r="F22" s="2">
        <v>2025021</v>
      </c>
      <c r="G22" s="2" t="s">
        <v>407</v>
      </c>
      <c r="H22" s="2" t="s">
        <v>150</v>
      </c>
      <c r="I22" s="5" t="s">
        <v>379</v>
      </c>
      <c r="J22" s="5">
        <f>VLOOKUP($F22,'seagrass biomass'!$G:$L,2,FALSE)</f>
        <v>933</v>
      </c>
      <c r="K22" s="5">
        <f>VLOOKUP($F22,'seagrass biomass'!$G:$L,3,FALSE)</f>
        <v>750</v>
      </c>
      <c r="L22" s="5" t="s">
        <v>386</v>
      </c>
    </row>
    <row r="23" spans="1:15" x14ac:dyDescent="0.25">
      <c r="A23" s="2" t="s">
        <v>112</v>
      </c>
      <c r="B23" s="2" t="s">
        <v>45</v>
      </c>
      <c r="C23" s="2" t="s">
        <v>109</v>
      </c>
      <c r="D23" s="2">
        <v>-8.6896031652733416</v>
      </c>
      <c r="E23" s="2">
        <v>40.674075696751643</v>
      </c>
      <c r="F23" s="2">
        <v>2025022</v>
      </c>
      <c r="G23" s="2" t="s">
        <v>408</v>
      </c>
      <c r="H23" s="2" t="s">
        <v>151</v>
      </c>
      <c r="I23" s="5" t="s">
        <v>377</v>
      </c>
      <c r="J23" s="5">
        <f>VLOOKUP($F23,'seagrass biomass'!$G:$L,2,FALSE)</f>
        <v>85</v>
      </c>
      <c r="K23" s="5">
        <f>VLOOKUP($F23,'seagrass biomass'!$G:$L,3,FALSE)</f>
        <v>719</v>
      </c>
      <c r="L23" s="5" t="s">
        <v>386</v>
      </c>
    </row>
    <row r="24" spans="1:15" x14ac:dyDescent="0.25">
      <c r="A24" s="2" t="s">
        <v>111</v>
      </c>
      <c r="B24" s="15" t="s">
        <v>14</v>
      </c>
      <c r="C24" s="15" t="s">
        <v>109</v>
      </c>
      <c r="D24" s="15">
        <v>-8.6898266729931564</v>
      </c>
      <c r="E24" s="15">
        <v>40.674063382355122</v>
      </c>
      <c r="F24" s="15">
        <v>2025023</v>
      </c>
      <c r="G24" s="15" t="s">
        <v>409</v>
      </c>
      <c r="H24" s="15" t="s">
        <v>152</v>
      </c>
      <c r="I24" s="16" t="s">
        <v>379</v>
      </c>
      <c r="J24" s="16">
        <f>VLOOKUP($F24,'seagrass biomass'!$G:$L,2,FALSE)</f>
        <v>2790</v>
      </c>
      <c r="K24" s="16">
        <f>VLOOKUP($F24,'seagrass biomass'!$G:$L,3,FALSE)</f>
        <v>888</v>
      </c>
      <c r="L24" s="16" t="s">
        <v>386</v>
      </c>
      <c r="M24" s="15">
        <v>100</v>
      </c>
      <c r="N24" s="15" t="s">
        <v>115</v>
      </c>
    </row>
    <row r="25" spans="1:15" x14ac:dyDescent="0.25">
      <c r="A25" s="2" t="s">
        <v>112</v>
      </c>
      <c r="B25" s="15" t="s">
        <v>37</v>
      </c>
      <c r="C25" s="15" t="s">
        <v>109</v>
      </c>
      <c r="D25" s="15">
        <v>-8.6902026127551224</v>
      </c>
      <c r="E25" s="15">
        <v>40.674294749900866</v>
      </c>
      <c r="F25" s="15">
        <v>2025024</v>
      </c>
      <c r="G25" s="15" t="s">
        <v>410</v>
      </c>
      <c r="H25" s="15" t="s">
        <v>153</v>
      </c>
      <c r="I25" s="16" t="s">
        <v>379</v>
      </c>
      <c r="J25" s="16">
        <f>VLOOKUP($F25,'seagrass biomass'!$G:$L,2,FALSE)</f>
        <v>2113</v>
      </c>
      <c r="K25" s="16">
        <f>VLOOKUP($F25,'seagrass biomass'!$G:$L,3,FALSE)</f>
        <v>675</v>
      </c>
      <c r="L25" s="16" t="s">
        <v>386</v>
      </c>
      <c r="M25" s="15">
        <v>100</v>
      </c>
      <c r="N25" s="18" t="s">
        <v>441</v>
      </c>
    </row>
    <row r="26" spans="1:15" x14ac:dyDescent="0.25">
      <c r="A26" s="2" t="s">
        <v>111</v>
      </c>
      <c r="B26" s="15" t="s">
        <v>6</v>
      </c>
      <c r="C26" s="15" t="s">
        <v>109</v>
      </c>
      <c r="D26" s="15">
        <v>-8.6902785297354068</v>
      </c>
      <c r="E26" s="15">
        <v>40.67435413030968</v>
      </c>
      <c r="F26" s="15">
        <v>2025025</v>
      </c>
      <c r="G26" s="15" t="s">
        <v>437</v>
      </c>
      <c r="H26" s="15" t="s">
        <v>154</v>
      </c>
      <c r="I26" s="16" t="s">
        <v>379</v>
      </c>
      <c r="J26" s="16">
        <f>VLOOKUP($F26,'seagrass biomass'!$G:$L,2,FALSE)</f>
        <v>2171</v>
      </c>
      <c r="K26" s="16">
        <f>VLOOKUP($F26,'seagrass biomass'!$G:$L,3,FALSE)</f>
        <v>933</v>
      </c>
      <c r="L26" s="16" t="s">
        <v>386</v>
      </c>
      <c r="M26" s="15">
        <v>100</v>
      </c>
      <c r="N26" s="18" t="s">
        <v>442</v>
      </c>
    </row>
    <row r="27" spans="1:15" x14ac:dyDescent="0.25">
      <c r="A27" s="2" t="s">
        <v>111</v>
      </c>
      <c r="B27" s="15" t="s">
        <v>7</v>
      </c>
      <c r="C27" s="15" t="s">
        <v>109</v>
      </c>
      <c r="D27" s="15">
        <v>-8.689896652347052</v>
      </c>
      <c r="E27" s="15">
        <v>40.674698159642553</v>
      </c>
      <c r="F27" s="15">
        <v>2025026</v>
      </c>
      <c r="G27" s="15" t="s">
        <v>411</v>
      </c>
      <c r="H27" s="15" t="s">
        <v>155</v>
      </c>
      <c r="I27" s="16" t="s">
        <v>376</v>
      </c>
      <c r="J27" s="16">
        <f>VLOOKUP($F27,'seagrass biomass'!$G:$L,2,FALSE)</f>
        <v>0</v>
      </c>
      <c r="K27" s="16">
        <f>VLOOKUP($F27,'seagrass biomass'!$G:$L,3,FALSE)</f>
        <v>0</v>
      </c>
      <c r="L27" s="16" t="s">
        <v>386</v>
      </c>
      <c r="M27" s="15">
        <v>0</v>
      </c>
      <c r="N27" s="15" t="s">
        <v>116</v>
      </c>
    </row>
    <row r="28" spans="1:15" x14ac:dyDescent="0.25">
      <c r="A28" s="2" t="s">
        <v>112</v>
      </c>
      <c r="B28" s="2" t="s">
        <v>38</v>
      </c>
      <c r="C28" s="2" t="s">
        <v>109</v>
      </c>
      <c r="D28" s="2">
        <v>-8.6895364014205079</v>
      </c>
      <c r="E28" s="2">
        <v>40.674447652450773</v>
      </c>
      <c r="F28" s="2">
        <v>2025027</v>
      </c>
      <c r="G28" s="2" t="s">
        <v>412</v>
      </c>
      <c r="H28" s="2" t="s">
        <v>156</v>
      </c>
      <c r="I28" s="5" t="s">
        <v>377</v>
      </c>
      <c r="J28" s="5">
        <f>VLOOKUP($F28,'seagrass biomass'!$G:$L,2,FALSE)</f>
        <v>39</v>
      </c>
      <c r="K28" s="5">
        <f>VLOOKUP($F28,'seagrass biomass'!$G:$L,3,FALSE)</f>
        <v>161</v>
      </c>
      <c r="L28" s="5" t="s">
        <v>386</v>
      </c>
    </row>
    <row r="29" spans="1:15" x14ac:dyDescent="0.25">
      <c r="A29" s="2" t="s">
        <v>111</v>
      </c>
      <c r="B29" s="2" t="s">
        <v>15</v>
      </c>
      <c r="C29" s="2" t="s">
        <v>109</v>
      </c>
      <c r="D29" s="2">
        <v>-8.6894447949599289</v>
      </c>
      <c r="E29" s="2">
        <v>40.674407410208453</v>
      </c>
      <c r="F29" s="2">
        <v>2025028</v>
      </c>
      <c r="G29" s="2" t="s">
        <v>413</v>
      </c>
      <c r="H29" s="2" t="s">
        <v>157</v>
      </c>
      <c r="I29" s="5" t="s">
        <v>379</v>
      </c>
      <c r="J29" s="5">
        <f>VLOOKUP($F29,'seagrass biomass'!$G:$L,2,FALSE)</f>
        <v>2715</v>
      </c>
      <c r="K29" s="5">
        <f>VLOOKUP($F29,'seagrass biomass'!$G:$L,3,FALSE)</f>
        <v>1696</v>
      </c>
      <c r="L29" s="5" t="s">
        <v>386</v>
      </c>
    </row>
    <row r="30" spans="1:15" x14ac:dyDescent="0.25">
      <c r="A30" s="2" t="s">
        <v>112</v>
      </c>
      <c r="B30" s="15" t="s">
        <v>46</v>
      </c>
      <c r="C30" s="15" t="s">
        <v>109</v>
      </c>
      <c r="D30" s="15">
        <v>-8.6891629353997395</v>
      </c>
      <c r="E30" s="15">
        <v>40.674482607871518</v>
      </c>
      <c r="F30" s="15">
        <v>2025029</v>
      </c>
      <c r="G30" s="15" t="s">
        <v>414</v>
      </c>
      <c r="H30" s="15" t="s">
        <v>158</v>
      </c>
      <c r="I30" s="16" t="s">
        <v>379</v>
      </c>
      <c r="J30" s="16">
        <f>VLOOKUP($F30,'seagrass biomass'!$G:$L,2,FALSE)</f>
        <v>1294</v>
      </c>
      <c r="K30" s="16">
        <f>VLOOKUP($F30,'seagrass biomass'!$G:$L,3,FALSE)</f>
        <v>454</v>
      </c>
      <c r="L30" s="16" t="s">
        <v>386</v>
      </c>
      <c r="M30" s="15">
        <v>25</v>
      </c>
      <c r="N30" s="15" t="s">
        <v>121</v>
      </c>
    </row>
    <row r="31" spans="1:15" x14ac:dyDescent="0.25">
      <c r="A31" s="2" t="s">
        <v>111</v>
      </c>
      <c r="B31" s="15" t="s">
        <v>23</v>
      </c>
      <c r="C31" s="15" t="s">
        <v>109</v>
      </c>
      <c r="D31" s="15">
        <v>-8.6889929415017981</v>
      </c>
      <c r="E31" s="15">
        <v>40.674116659005691</v>
      </c>
      <c r="F31" s="15">
        <v>2025030</v>
      </c>
      <c r="G31" s="15" t="s">
        <v>415</v>
      </c>
      <c r="H31" s="15" t="s">
        <v>159</v>
      </c>
      <c r="I31" s="16" t="s">
        <v>376</v>
      </c>
      <c r="J31" s="16">
        <f>VLOOKUP($F31,'seagrass biomass'!$G:$L,2,FALSE)</f>
        <v>228</v>
      </c>
      <c r="K31" s="16">
        <f>VLOOKUP($F31,'seagrass biomass'!$G:$L,3,FALSE)</f>
        <v>191</v>
      </c>
      <c r="L31" s="16" t="s">
        <v>386</v>
      </c>
      <c r="M31" s="15">
        <v>50</v>
      </c>
      <c r="N31" s="15" t="s">
        <v>444</v>
      </c>
    </row>
    <row r="32" spans="1:15" x14ac:dyDescent="0.25">
      <c r="A32" s="2" t="s">
        <v>112</v>
      </c>
      <c r="B32" s="2" t="s">
        <v>52</v>
      </c>
      <c r="C32" s="2" t="s">
        <v>109</v>
      </c>
      <c r="D32" s="2">
        <v>-8.6890768694457581</v>
      </c>
      <c r="E32" s="2">
        <v>40.673987862444093</v>
      </c>
      <c r="F32" s="2">
        <v>2025031</v>
      </c>
      <c r="G32" s="2" t="s">
        <v>416</v>
      </c>
      <c r="H32" s="2" t="s">
        <v>160</v>
      </c>
      <c r="I32" s="5" t="s">
        <v>376</v>
      </c>
      <c r="J32" s="5">
        <f>VLOOKUP($F32,'seagrass biomass'!$G:$L,2,FALSE)</f>
        <v>0</v>
      </c>
      <c r="K32" s="5">
        <f>VLOOKUP($F32,'seagrass biomass'!$G:$L,3,FALSE)</f>
        <v>0</v>
      </c>
      <c r="L32" s="5" t="s">
        <v>386</v>
      </c>
    </row>
    <row r="33" spans="1:14" x14ac:dyDescent="0.25">
      <c r="A33" s="2" t="s">
        <v>112</v>
      </c>
      <c r="B33" s="2" t="s">
        <v>53</v>
      </c>
      <c r="C33" s="2" t="s">
        <v>109</v>
      </c>
      <c r="D33" s="2">
        <v>-8.6882516523330438</v>
      </c>
      <c r="E33" s="2">
        <v>40.67410705843696</v>
      </c>
      <c r="F33" s="2">
        <v>2025032</v>
      </c>
      <c r="G33" s="2" t="s">
        <v>417</v>
      </c>
      <c r="H33" s="2" t="s">
        <v>161</v>
      </c>
      <c r="I33" s="5" t="s">
        <v>376</v>
      </c>
      <c r="J33" s="5">
        <f>VLOOKUP($F33,'seagrass biomass'!$G:$L,2,FALSE)</f>
        <v>0</v>
      </c>
      <c r="K33" s="5">
        <f>VLOOKUP($F33,'seagrass biomass'!$G:$L,3,FALSE)</f>
        <v>0</v>
      </c>
      <c r="L33" s="5" t="s">
        <v>386</v>
      </c>
    </row>
    <row r="34" spans="1:14" x14ac:dyDescent="0.25">
      <c r="A34" s="2" t="s">
        <v>111</v>
      </c>
      <c r="B34" s="2" t="s">
        <v>32</v>
      </c>
      <c r="C34" s="2" t="s">
        <v>109</v>
      </c>
      <c r="D34" s="2">
        <v>-8.6881592087209789</v>
      </c>
      <c r="E34" s="2">
        <v>40.674169929630608</v>
      </c>
      <c r="F34" s="2">
        <v>2025033</v>
      </c>
      <c r="G34" s="2" t="s">
        <v>418</v>
      </c>
      <c r="H34" s="2" t="s">
        <v>163</v>
      </c>
      <c r="I34" s="5" t="s">
        <v>376</v>
      </c>
      <c r="J34" s="5">
        <f>VLOOKUP($F34,'seagrass biomass'!$G:$L,2,FALSE)</f>
        <v>0</v>
      </c>
      <c r="K34" s="5">
        <f>VLOOKUP($F34,'seagrass biomass'!$G:$L,3,FALSE)</f>
        <v>0</v>
      </c>
      <c r="L34" s="5" t="s">
        <v>386</v>
      </c>
    </row>
    <row r="35" spans="1:14" x14ac:dyDescent="0.25">
      <c r="A35" s="2" t="s">
        <v>111</v>
      </c>
      <c r="B35" s="15" t="s">
        <v>24</v>
      </c>
      <c r="C35" s="15" t="s">
        <v>109</v>
      </c>
      <c r="D35" s="15">
        <v>-8.6886110588948338</v>
      </c>
      <c r="E35" s="15">
        <v>40.674460684081517</v>
      </c>
      <c r="F35" s="15">
        <v>2025034</v>
      </c>
      <c r="G35" s="15" t="s">
        <v>419</v>
      </c>
      <c r="H35" s="15" t="s">
        <v>164</v>
      </c>
      <c r="I35" s="16" t="s">
        <v>376</v>
      </c>
      <c r="J35" s="16">
        <f>VLOOKUP($F35,'seagrass biomass'!$G:$L,2,FALSE)</f>
        <v>0</v>
      </c>
      <c r="K35" s="16">
        <f>VLOOKUP($F35,'seagrass biomass'!$G:$L,3,FALSE)</f>
        <v>0</v>
      </c>
      <c r="L35" s="16" t="s">
        <v>386</v>
      </c>
      <c r="M35" s="15">
        <v>0</v>
      </c>
      <c r="N35" s="15" t="s">
        <v>120</v>
      </c>
    </row>
    <row r="36" spans="1:14" x14ac:dyDescent="0.25">
      <c r="A36" s="2" t="s">
        <v>112</v>
      </c>
      <c r="B36" s="15" t="s">
        <v>47</v>
      </c>
      <c r="C36" s="15" t="s">
        <v>109</v>
      </c>
      <c r="D36" s="15">
        <v>-8.6887206476385881</v>
      </c>
      <c r="E36" s="15">
        <v>40.674762013477391</v>
      </c>
      <c r="F36" s="15">
        <v>2025035</v>
      </c>
      <c r="G36" s="15" t="s">
        <v>420</v>
      </c>
      <c r="H36" s="15" t="s">
        <v>165</v>
      </c>
      <c r="I36" s="16" t="s">
        <v>379</v>
      </c>
      <c r="J36" s="16">
        <f>VLOOKUP($F36,'seagrass biomass'!$G:$L,2,FALSE)</f>
        <v>206.02</v>
      </c>
      <c r="K36" s="16">
        <f>VLOOKUP($F36,'seagrass biomass'!$G:$L,3,FALSE)</f>
        <v>212.4</v>
      </c>
      <c r="L36" s="16" t="s">
        <v>386</v>
      </c>
      <c r="M36" s="15">
        <v>40</v>
      </c>
      <c r="N36" s="15" t="s">
        <v>118</v>
      </c>
    </row>
    <row r="37" spans="1:14" x14ac:dyDescent="0.25">
      <c r="A37" s="2" t="s">
        <v>111</v>
      </c>
      <c r="B37" s="15" t="s">
        <v>17</v>
      </c>
      <c r="C37" s="15" t="s">
        <v>109</v>
      </c>
      <c r="D37" s="15">
        <v>-8.6886810271064263</v>
      </c>
      <c r="E37" s="15">
        <v>40.675095462021233</v>
      </c>
      <c r="F37" s="15">
        <v>2025036</v>
      </c>
      <c r="G37" s="15" t="s">
        <v>421</v>
      </c>
      <c r="H37" s="15" t="s">
        <v>166</v>
      </c>
      <c r="I37" s="16" t="s">
        <v>379</v>
      </c>
      <c r="J37" s="16">
        <f>VLOOKUP($F37,'seagrass biomass'!$G:$L,2,FALSE)</f>
        <v>645</v>
      </c>
      <c r="K37" s="16">
        <f>VLOOKUP($F37,'seagrass biomass'!$G:$L,3,FALSE)</f>
        <v>607</v>
      </c>
      <c r="L37" s="16" t="s">
        <v>386</v>
      </c>
      <c r="M37" s="15">
        <v>50</v>
      </c>
      <c r="N37" s="15" t="s">
        <v>119</v>
      </c>
    </row>
    <row r="38" spans="1:14" x14ac:dyDescent="0.25">
      <c r="A38" s="2" t="s">
        <v>111</v>
      </c>
      <c r="B38" s="2" t="s">
        <v>16</v>
      </c>
      <c r="C38" s="2" t="s">
        <v>109</v>
      </c>
      <c r="D38" s="2">
        <v>-8.6890629129977128</v>
      </c>
      <c r="E38" s="2">
        <v>40.674751436763827</v>
      </c>
      <c r="F38" s="2">
        <v>2025037</v>
      </c>
      <c r="G38" s="2" t="s">
        <v>422</v>
      </c>
      <c r="H38" s="2" t="s">
        <v>167</v>
      </c>
      <c r="I38" s="5" t="s">
        <v>379</v>
      </c>
      <c r="J38" s="5">
        <f>VLOOKUP($F38,'seagrass biomass'!$G:$L,2,FALSE)</f>
        <v>1871</v>
      </c>
      <c r="K38" s="5">
        <f>VLOOKUP($F38,'seagrass biomass'!$G:$L,3,FALSE)</f>
        <v>1585</v>
      </c>
      <c r="L38" s="5" t="s">
        <v>386</v>
      </c>
    </row>
    <row r="39" spans="1:14" x14ac:dyDescent="0.25">
      <c r="A39" s="2" t="s">
        <v>112</v>
      </c>
      <c r="B39" s="2" t="s">
        <v>39</v>
      </c>
      <c r="C39" s="2" t="s">
        <v>109</v>
      </c>
      <c r="D39" s="2">
        <v>-8.6893754607058007</v>
      </c>
      <c r="E39" s="2">
        <v>40.674801617968328</v>
      </c>
      <c r="F39" s="2">
        <v>2025038</v>
      </c>
      <c r="G39" s="2" t="s">
        <v>423</v>
      </c>
      <c r="H39" s="2" t="s">
        <v>168</v>
      </c>
      <c r="I39" s="5" t="s">
        <v>379</v>
      </c>
      <c r="J39" s="5">
        <f>VLOOKUP($F39,'seagrass biomass'!$G:$L,2,FALSE)</f>
        <v>1642</v>
      </c>
      <c r="K39" s="5">
        <f>VLOOKUP($F39,'seagrass biomass'!$G:$L,3,FALSE)</f>
        <v>1381</v>
      </c>
      <c r="L39" s="5" t="s">
        <v>386</v>
      </c>
    </row>
    <row r="40" spans="1:14" x14ac:dyDescent="0.25">
      <c r="A40" s="2" t="s">
        <v>111</v>
      </c>
      <c r="B40" s="15" t="s">
        <v>8</v>
      </c>
      <c r="C40" s="15" t="s">
        <v>109</v>
      </c>
      <c r="D40" s="15">
        <v>-8.6895147710296587</v>
      </c>
      <c r="E40" s="15">
        <v>40.675042187677512</v>
      </c>
      <c r="F40" s="15">
        <v>2025039</v>
      </c>
      <c r="G40" s="15" t="s">
        <v>404</v>
      </c>
      <c r="H40" s="15" t="s">
        <v>169</v>
      </c>
      <c r="I40" s="16" t="s">
        <v>376</v>
      </c>
      <c r="J40" s="16">
        <f>VLOOKUP($F40,'seagrass biomass'!$G:$L,2,FALSE)</f>
        <v>0</v>
      </c>
      <c r="K40" s="16">
        <f>VLOOKUP($F40,'seagrass biomass'!$G:$L,3,FALSE)</f>
        <v>0</v>
      </c>
      <c r="L40" s="16" t="s">
        <v>386</v>
      </c>
      <c r="M40" s="15">
        <v>0</v>
      </c>
      <c r="N40" s="15" t="s">
        <v>117</v>
      </c>
    </row>
    <row r="41" spans="1:14" x14ac:dyDescent="0.25">
      <c r="A41" s="2" t="s">
        <v>111</v>
      </c>
      <c r="B41" s="15" t="s">
        <v>9</v>
      </c>
      <c r="C41" s="15" t="s">
        <v>109</v>
      </c>
      <c r="D41" s="15">
        <v>-8.6891328857831507</v>
      </c>
      <c r="E41" s="15">
        <v>40.675386214414502</v>
      </c>
      <c r="F41" s="15">
        <v>2025040</v>
      </c>
      <c r="G41" s="15" t="s">
        <v>424</v>
      </c>
      <c r="H41" s="15" t="s">
        <v>170</v>
      </c>
      <c r="I41" s="16" t="s">
        <v>376</v>
      </c>
      <c r="J41" s="16">
        <f>VLOOKUP($F41,'seagrass biomass'!$G:$L,2,FALSE)</f>
        <v>0</v>
      </c>
      <c r="K41" s="16">
        <f>VLOOKUP($F41,'seagrass biomass'!$G:$L,3,FALSE)</f>
        <v>0</v>
      </c>
      <c r="L41" s="16" t="s">
        <v>386</v>
      </c>
      <c r="M41" s="15">
        <v>0</v>
      </c>
      <c r="N41" s="15" t="s">
        <v>443</v>
      </c>
    </row>
    <row r="42" spans="1:14" x14ac:dyDescent="0.25">
      <c r="A42" s="2" t="s">
        <v>112</v>
      </c>
      <c r="B42" s="2" t="s">
        <v>40</v>
      </c>
      <c r="C42" s="2" t="s">
        <v>109</v>
      </c>
      <c r="D42" s="2">
        <v>-8.6889636849382548</v>
      </c>
      <c r="E42" s="2">
        <v>40.674983305780607</v>
      </c>
      <c r="F42" s="2">
        <v>2025081</v>
      </c>
      <c r="G42" s="2" t="s">
        <v>425</v>
      </c>
      <c r="H42" s="2" t="s">
        <v>171</v>
      </c>
      <c r="I42" s="5" t="s">
        <v>379</v>
      </c>
      <c r="J42" s="5">
        <f>VLOOKUP($F42,'seagrass biomass'!$G:$L,2,FALSE)</f>
        <v>2745</v>
      </c>
      <c r="K42" s="5">
        <f>VLOOKUP($F42,'seagrass biomass'!$G:$L,3,FALSE)</f>
        <v>1244</v>
      </c>
      <c r="L42" s="5" t="s">
        <v>386</v>
      </c>
    </row>
    <row r="43" spans="1:14" x14ac:dyDescent="0.25">
      <c r="A43" s="2" t="s">
        <v>111</v>
      </c>
      <c r="B43" s="2" t="s">
        <v>25</v>
      </c>
      <c r="C43" s="2" t="s">
        <v>109</v>
      </c>
      <c r="D43" s="2">
        <v>-8.6882291723588452</v>
      </c>
      <c r="E43" s="2">
        <v>40.67480470785933</v>
      </c>
      <c r="F43" s="2">
        <v>2025082</v>
      </c>
      <c r="G43" s="2" t="s">
        <v>426</v>
      </c>
      <c r="H43" s="2" t="s">
        <v>172</v>
      </c>
      <c r="I43" s="5" t="s">
        <v>379</v>
      </c>
      <c r="J43" s="5">
        <f>VLOOKUP($F43,'seagrass biomass'!$G:$L,2,FALSE)</f>
        <v>400</v>
      </c>
      <c r="K43" s="5">
        <f>VLOOKUP($F43,'seagrass biomass'!$G:$L,3,FALSE)</f>
        <v>338</v>
      </c>
      <c r="L43" s="5" t="s">
        <v>386</v>
      </c>
    </row>
    <row r="44" spans="1:14" x14ac:dyDescent="0.25">
      <c r="A44" s="2" t="s">
        <v>111</v>
      </c>
      <c r="B44" s="2" t="s">
        <v>85</v>
      </c>
      <c r="C44" s="2" t="s">
        <v>110</v>
      </c>
      <c r="D44" s="2">
        <v>-8.6786166131566684</v>
      </c>
      <c r="E44" s="2">
        <v>40.693744548667389</v>
      </c>
      <c r="F44" s="11">
        <v>2025083</v>
      </c>
      <c r="G44" s="2" t="s">
        <v>427</v>
      </c>
      <c r="H44" s="2" t="s">
        <v>173</v>
      </c>
      <c r="I44" s="5" t="s">
        <v>379</v>
      </c>
      <c r="J44" s="5">
        <f>VLOOKUP($F44,'seagrass biomass'!$G:$L,2,FALSE)</f>
        <v>717</v>
      </c>
      <c r="K44" s="5">
        <f>VLOOKUP($F44,'seagrass biomass'!$G:$L,3,FALSE)</f>
        <v>835</v>
      </c>
      <c r="L44" s="5" t="str">
        <f>VLOOKUP($F44,'seagrass biomass'!C:F,4,FALSE)</f>
        <v>NIOZ lab</v>
      </c>
    </row>
    <row r="45" spans="1:14" x14ac:dyDescent="0.25">
      <c r="A45" s="2" t="s">
        <v>112</v>
      </c>
      <c r="B45" s="2" t="s">
        <v>107</v>
      </c>
      <c r="C45" s="2" t="s">
        <v>110</v>
      </c>
      <c r="D45" s="2">
        <v>-8.6785834445911245</v>
      </c>
      <c r="E45" s="2">
        <v>40.693312999004867</v>
      </c>
      <c r="F45" s="2">
        <v>2025084</v>
      </c>
      <c r="G45" s="2" t="s">
        <v>428</v>
      </c>
      <c r="H45" s="2" t="s">
        <v>174</v>
      </c>
      <c r="I45" s="5" t="s">
        <v>379</v>
      </c>
      <c r="J45" s="5">
        <f>VLOOKUP($F45,'seagrass biomass'!$G:$L,2,FALSE)</f>
        <v>1514</v>
      </c>
      <c r="K45" s="5">
        <f>VLOOKUP($F45,'seagrass biomass'!$G:$L,3,FALSE)</f>
        <v>556</v>
      </c>
      <c r="L45" s="5" t="s">
        <v>386</v>
      </c>
    </row>
    <row r="46" spans="1:14" x14ac:dyDescent="0.25">
      <c r="A46" s="2" t="s">
        <v>111</v>
      </c>
      <c r="B46" s="2" t="s">
        <v>84</v>
      </c>
      <c r="C46" s="2" t="s">
        <v>110</v>
      </c>
      <c r="D46" s="2">
        <v>-8.6788210461547095</v>
      </c>
      <c r="E46" s="2">
        <v>40.693321847234543</v>
      </c>
      <c r="F46" s="2">
        <v>2025085</v>
      </c>
      <c r="G46" s="2" t="s">
        <v>429</v>
      </c>
      <c r="H46" s="2" t="s">
        <v>175</v>
      </c>
      <c r="I46" s="5" t="s">
        <v>379</v>
      </c>
      <c r="J46" s="5">
        <f>VLOOKUP($F46,'seagrass biomass'!$G:$L,2,FALSE)</f>
        <v>2566</v>
      </c>
      <c r="K46" s="5">
        <f>VLOOKUP($F46,'seagrass biomass'!$G:$L,3,FALSE)</f>
        <v>1512</v>
      </c>
      <c r="L46" s="5" t="s">
        <v>386</v>
      </c>
    </row>
    <row r="47" spans="1:14" x14ac:dyDescent="0.25">
      <c r="A47" s="2" t="s">
        <v>111</v>
      </c>
      <c r="B47" s="2" t="s">
        <v>83</v>
      </c>
      <c r="C47" s="2" t="s">
        <v>110</v>
      </c>
      <c r="D47" s="2">
        <v>-8.679025476553754</v>
      </c>
      <c r="E47" s="2">
        <v>40.69289914539894</v>
      </c>
      <c r="F47" s="2">
        <v>2025086</v>
      </c>
      <c r="G47" s="2" t="s">
        <v>430</v>
      </c>
      <c r="H47" s="2" t="s">
        <v>176</v>
      </c>
      <c r="I47" s="5" t="s">
        <v>379</v>
      </c>
      <c r="J47" s="5">
        <f>VLOOKUP($F47,'seagrass biomass'!$G:$L,2,FALSE)</f>
        <v>3538</v>
      </c>
      <c r="K47" s="5">
        <f>VLOOKUP($F47,'seagrass biomass'!$G:$L,3,FALSE)</f>
        <v>2263</v>
      </c>
      <c r="L47" s="5" t="s">
        <v>386</v>
      </c>
    </row>
    <row r="48" spans="1:14" x14ac:dyDescent="0.25">
      <c r="A48" s="2" t="s">
        <v>112</v>
      </c>
      <c r="B48" s="2" t="s">
        <v>105</v>
      </c>
      <c r="C48" s="2" t="s">
        <v>110</v>
      </c>
      <c r="D48" s="2">
        <v>-8.678762481709402</v>
      </c>
      <c r="E48" s="2">
        <v>40.692555607082951</v>
      </c>
      <c r="F48" s="2">
        <v>2025087</v>
      </c>
      <c r="G48" s="2" t="s">
        <v>431</v>
      </c>
      <c r="H48" s="2" t="s">
        <v>177</v>
      </c>
      <c r="I48" s="5" t="s">
        <v>379</v>
      </c>
      <c r="J48" s="5">
        <f>VLOOKUP($F48,'seagrass biomass'!$G:$L,2,FALSE)</f>
        <v>1780</v>
      </c>
      <c r="K48" s="5">
        <f>VLOOKUP($F48,'seagrass biomass'!$G:$L,3,FALSE)</f>
        <v>1728</v>
      </c>
      <c r="L48" s="5" t="s">
        <v>386</v>
      </c>
    </row>
    <row r="49" spans="1:15" x14ac:dyDescent="0.25">
      <c r="A49" s="2" t="s">
        <v>112</v>
      </c>
      <c r="B49" s="2" t="s">
        <v>102</v>
      </c>
      <c r="C49" s="2" t="s">
        <v>110</v>
      </c>
      <c r="D49" s="2">
        <v>-8.6793081877929463</v>
      </c>
      <c r="E49" s="2">
        <v>40.692930260988938</v>
      </c>
      <c r="F49" s="2">
        <v>2025088</v>
      </c>
      <c r="G49" s="2">
        <v>2025166</v>
      </c>
      <c r="H49" s="2" t="s">
        <v>178</v>
      </c>
      <c r="I49" s="5" t="s">
        <v>379</v>
      </c>
      <c r="J49" s="5">
        <f>VLOOKUP($F49,'seagrass biomass'!$G:$L,2,FALSE)</f>
        <v>3113</v>
      </c>
      <c r="K49" s="5">
        <f>VLOOKUP($F49,'seagrass biomass'!$G:$L,3,FALSE)</f>
        <v>899</v>
      </c>
      <c r="L49" s="5" t="s">
        <v>386</v>
      </c>
    </row>
    <row r="50" spans="1:15" x14ac:dyDescent="0.25">
      <c r="A50" s="2" t="s">
        <v>111</v>
      </c>
      <c r="B50" s="2" t="s">
        <v>78</v>
      </c>
      <c r="C50" s="2" t="s">
        <v>110</v>
      </c>
      <c r="D50" s="2">
        <v>-8.6797852471313988</v>
      </c>
      <c r="E50" s="2">
        <v>40.692632042631871</v>
      </c>
      <c r="F50" s="2">
        <v>2025089</v>
      </c>
      <c r="G50" s="11">
        <v>2025172</v>
      </c>
      <c r="H50" s="2" t="s">
        <v>179</v>
      </c>
      <c r="I50" s="5" t="s">
        <v>379</v>
      </c>
      <c r="J50" s="5">
        <f>VLOOKUP($F50,'seagrass biomass'!$G:$L,2,FALSE)</f>
        <v>857</v>
      </c>
      <c r="K50" s="5">
        <f>VLOOKUP($F50,'seagrass biomass'!$G:$L,3,FALSE)</f>
        <v>705</v>
      </c>
      <c r="L50" s="5" t="s">
        <v>386</v>
      </c>
      <c r="O50" s="2" t="s">
        <v>130</v>
      </c>
    </row>
    <row r="51" spans="1:15" x14ac:dyDescent="0.25">
      <c r="A51" s="2" t="s">
        <v>111</v>
      </c>
      <c r="B51" s="2" t="s">
        <v>74</v>
      </c>
      <c r="C51" s="2" t="s">
        <v>110</v>
      </c>
      <c r="D51" s="2">
        <v>-8.6803405925077062</v>
      </c>
      <c r="E51" s="2">
        <v>40.69278763943732</v>
      </c>
      <c r="F51" s="2">
        <v>2025090</v>
      </c>
      <c r="G51" s="11">
        <v>2025164</v>
      </c>
      <c r="H51" s="2" t="s">
        <v>180</v>
      </c>
      <c r="I51" s="5" t="s">
        <v>379</v>
      </c>
      <c r="J51" s="5">
        <f>VLOOKUP($F51,'seagrass biomass'!$G:$L,2,FALSE)</f>
        <v>1103</v>
      </c>
      <c r="K51" s="5">
        <f>VLOOKUP($F51,'seagrass biomass'!$G:$L,3,FALSE)</f>
        <v>813</v>
      </c>
      <c r="L51" s="5" t="str">
        <f>VLOOKUP($F51,'seagrass biomass'!C:F,4,FALSE)</f>
        <v>NIOZ lab</v>
      </c>
    </row>
    <row r="52" spans="1:15" x14ac:dyDescent="0.25">
      <c r="A52" s="2" t="s">
        <v>112</v>
      </c>
      <c r="B52" s="2" t="s">
        <v>99</v>
      </c>
      <c r="C52" s="2" t="s">
        <v>110</v>
      </c>
      <c r="D52" s="2">
        <v>-8.6796997745988449</v>
      </c>
      <c r="E52" s="2">
        <v>40.692913910460902</v>
      </c>
      <c r="F52" s="2">
        <v>2025091</v>
      </c>
      <c r="G52" s="11">
        <v>2025163</v>
      </c>
      <c r="H52" s="2" t="s">
        <v>181</v>
      </c>
      <c r="I52" s="5" t="s">
        <v>379</v>
      </c>
      <c r="J52" s="5">
        <f>VLOOKUP($F52,'seagrass biomass'!$G:$L,2,FALSE)</f>
        <v>1230</v>
      </c>
      <c r="K52" s="5">
        <f>VLOOKUP($F52,'seagrass biomass'!$G:$L,3,FALSE)</f>
        <v>990</v>
      </c>
      <c r="L52" s="5" t="s">
        <v>386</v>
      </c>
    </row>
    <row r="53" spans="1:15" x14ac:dyDescent="0.25">
      <c r="A53" s="2" t="s">
        <v>111</v>
      </c>
      <c r="B53" s="2" t="s">
        <v>79</v>
      </c>
      <c r="C53" s="2" t="s">
        <v>110</v>
      </c>
      <c r="D53" s="2">
        <v>-8.6795808223525217</v>
      </c>
      <c r="E53" s="2">
        <v>40.693054745853587</v>
      </c>
      <c r="F53" s="2">
        <v>2025092</v>
      </c>
      <c r="G53" s="11">
        <v>2025168</v>
      </c>
      <c r="H53" s="2" t="s">
        <v>182</v>
      </c>
      <c r="I53" s="5" t="s">
        <v>379</v>
      </c>
      <c r="J53" s="5">
        <f>VLOOKUP($F53,'seagrass biomass'!$G:$L,2,FALSE)</f>
        <v>992</v>
      </c>
      <c r="K53" s="5">
        <f>VLOOKUP($F53,'seagrass biomass'!$G:$L,3,FALSE)</f>
        <v>377</v>
      </c>
      <c r="L53" s="5" t="s">
        <v>386</v>
      </c>
    </row>
    <row r="54" spans="1:15" x14ac:dyDescent="0.25">
      <c r="A54" s="2" t="s">
        <v>112</v>
      </c>
      <c r="B54" s="11" t="s">
        <v>100</v>
      </c>
      <c r="C54" s="2" t="s">
        <v>110</v>
      </c>
      <c r="D54" s="2">
        <v>-8.6795723971338887</v>
      </c>
      <c r="E54" s="2">
        <v>40.693250555174693</v>
      </c>
      <c r="F54" s="2">
        <v>2025093</v>
      </c>
      <c r="G54" s="11">
        <v>2025184</v>
      </c>
      <c r="H54" s="2" t="s">
        <v>183</v>
      </c>
      <c r="I54" s="5" t="s">
        <v>379</v>
      </c>
      <c r="J54" s="5">
        <f>VLOOKUP($F54,'seagrass biomass'!$G:$L,2,FALSE)</f>
        <v>1076</v>
      </c>
      <c r="K54" s="5">
        <f>VLOOKUP($F54,'seagrass biomass'!$G:$L,3,FALSE)</f>
        <v>803</v>
      </c>
      <c r="L54" s="5" t="s">
        <v>386</v>
      </c>
    </row>
    <row r="55" spans="1:15" x14ac:dyDescent="0.25">
      <c r="A55" s="2" t="s">
        <v>111</v>
      </c>
      <c r="B55" s="2" t="s">
        <v>80</v>
      </c>
      <c r="C55" s="2" t="s">
        <v>110</v>
      </c>
      <c r="D55" s="2">
        <v>-8.679376394974776</v>
      </c>
      <c r="E55" s="2">
        <v>40.693477448672589</v>
      </c>
      <c r="F55" s="2">
        <v>2025111</v>
      </c>
      <c r="G55" s="11">
        <v>2025177</v>
      </c>
      <c r="H55" s="2" t="s">
        <v>185</v>
      </c>
      <c r="I55" s="5" t="s">
        <v>379</v>
      </c>
      <c r="J55" s="5">
        <f>VLOOKUP($F55,'seagrass biomass'!$G:$L,2,FALSE)</f>
        <v>1483</v>
      </c>
      <c r="K55" s="5">
        <f>VLOOKUP($F55,'seagrass biomass'!$G:$L,3,FALSE)</f>
        <v>770</v>
      </c>
      <c r="L55" s="5" t="str">
        <f>VLOOKUP($F55,'seagrass biomass'!C:F,4,FALSE)</f>
        <v>NIOZ lab</v>
      </c>
    </row>
    <row r="56" spans="1:15" x14ac:dyDescent="0.25">
      <c r="A56" s="2" t="s">
        <v>112</v>
      </c>
      <c r="B56" s="2" t="s">
        <v>101</v>
      </c>
      <c r="C56" s="2" t="s">
        <v>110</v>
      </c>
      <c r="D56" s="2">
        <v>-8.679500151571709</v>
      </c>
      <c r="E56" s="2">
        <v>40.693606812728127</v>
      </c>
      <c r="F56" s="2">
        <v>2025112</v>
      </c>
      <c r="G56" s="11">
        <v>2025169</v>
      </c>
      <c r="H56" s="2" t="s">
        <v>186</v>
      </c>
      <c r="I56" s="5" t="s">
        <v>379</v>
      </c>
      <c r="J56" s="5">
        <f>VLOOKUP($F56,'seagrass biomass'!$G:$L,2,FALSE)</f>
        <v>718</v>
      </c>
      <c r="K56" s="5">
        <f>VLOOKUP($F56,'seagrass biomass'!$G:$L,3,FALSE)</f>
        <v>512</v>
      </c>
      <c r="L56" s="5" t="str">
        <f>VLOOKUP($F56,'seagrass biomass'!C:F,4,FALSE)</f>
        <v>NIOZ lab</v>
      </c>
    </row>
    <row r="57" spans="1:15" x14ac:dyDescent="0.25">
      <c r="A57" s="2" t="s">
        <v>111</v>
      </c>
      <c r="B57" s="2" t="s">
        <v>81</v>
      </c>
      <c r="C57" s="2" t="s">
        <v>110</v>
      </c>
      <c r="D57" s="2">
        <v>-8.6791719649980745</v>
      </c>
      <c r="E57" s="2">
        <v>40.69390015108884</v>
      </c>
      <c r="F57" s="2">
        <v>2025113</v>
      </c>
      <c r="G57" s="11">
        <v>2025178</v>
      </c>
      <c r="H57" s="2" t="s">
        <v>187</v>
      </c>
      <c r="I57" s="5" t="s">
        <v>379</v>
      </c>
      <c r="J57" s="5">
        <f>VLOOKUP($F57,'seagrass biomass'!$G:$L,2,FALSE)</f>
        <v>1876</v>
      </c>
      <c r="K57" s="5">
        <f>VLOOKUP($F57,'seagrass biomass'!$G:$L,3,FALSE)</f>
        <v>608</v>
      </c>
      <c r="L57" s="5" t="s">
        <v>386</v>
      </c>
    </row>
    <row r="58" spans="1:15" x14ac:dyDescent="0.25">
      <c r="A58" s="2" t="s">
        <v>111</v>
      </c>
      <c r="B58" s="13" t="s">
        <v>89</v>
      </c>
      <c r="C58" s="13" t="s">
        <v>110</v>
      </c>
      <c r="D58" s="13">
        <v>-8.6780612639143353</v>
      </c>
      <c r="E58" s="13">
        <v>40.693588943580032</v>
      </c>
      <c r="F58" s="13">
        <v>2025114</v>
      </c>
      <c r="G58" s="13">
        <v>2025179</v>
      </c>
      <c r="H58" s="13" t="s">
        <v>188</v>
      </c>
      <c r="I58" s="14" t="s">
        <v>376</v>
      </c>
      <c r="J58" s="14">
        <f>VLOOKUP($F58,'seagrass biomass'!$G:$L,2,FALSE)</f>
        <v>0</v>
      </c>
      <c r="K58" s="14">
        <f>VLOOKUP($F58,'seagrass biomass'!$G:$L,3,FALSE)</f>
        <v>0</v>
      </c>
      <c r="L58" s="14" t="s">
        <v>386</v>
      </c>
      <c r="M58" s="13">
        <v>0</v>
      </c>
      <c r="N58" s="13" t="s">
        <v>453</v>
      </c>
      <c r="O58" s="2" t="s">
        <v>126</v>
      </c>
    </row>
    <row r="59" spans="1:15" x14ac:dyDescent="0.25">
      <c r="A59" s="2" t="s">
        <v>111</v>
      </c>
      <c r="B59" s="2" t="s">
        <v>77</v>
      </c>
      <c r="C59" s="2" t="s">
        <v>110</v>
      </c>
      <c r="D59" s="2">
        <v>-8.6797273194385109</v>
      </c>
      <c r="E59" s="2">
        <v>40.694055750844413</v>
      </c>
      <c r="F59" s="2">
        <v>2025115</v>
      </c>
      <c r="G59" s="11" t="s">
        <v>432</v>
      </c>
      <c r="H59" s="2" t="s">
        <v>194</v>
      </c>
      <c r="I59" s="5" t="s">
        <v>379</v>
      </c>
      <c r="J59" s="5">
        <f>VLOOKUP($F59,'seagrass biomass'!$G:$L,2,FALSE)</f>
        <v>3975.8</v>
      </c>
      <c r="K59" s="5">
        <f>VLOOKUP($F59,'seagrass biomass'!$G:$L,3,FALSE)</f>
        <v>2080</v>
      </c>
      <c r="L59" s="5" t="s">
        <v>386</v>
      </c>
    </row>
    <row r="60" spans="1:15" x14ac:dyDescent="0.25">
      <c r="A60" s="2" t="s">
        <v>111</v>
      </c>
      <c r="B60" s="2" t="s">
        <v>76</v>
      </c>
      <c r="C60" s="2" t="s">
        <v>110</v>
      </c>
      <c r="D60" s="2">
        <v>-8.6799317463937893</v>
      </c>
      <c r="E60" s="2">
        <v>40.693633047444727</v>
      </c>
      <c r="F60" s="2">
        <v>2025116</v>
      </c>
      <c r="G60" s="11" t="s">
        <v>433</v>
      </c>
      <c r="H60" s="2" t="s">
        <v>195</v>
      </c>
      <c r="I60" s="5" t="s">
        <v>379</v>
      </c>
      <c r="J60" s="5">
        <f>VLOOKUP($F60,'seagrass biomass'!$G:$L,2,FALSE)</f>
        <v>3531</v>
      </c>
      <c r="K60" s="5">
        <f>VLOOKUP($F60,'seagrass biomass'!$G:$L,3,FALSE)</f>
        <v>2364</v>
      </c>
      <c r="L60" s="5" t="s">
        <v>386</v>
      </c>
    </row>
    <row r="61" spans="1:15" x14ac:dyDescent="0.25">
      <c r="A61" s="2" t="s">
        <v>112</v>
      </c>
      <c r="B61" s="13" t="s">
        <v>97</v>
      </c>
      <c r="C61" s="13" t="s">
        <v>110</v>
      </c>
      <c r="D61" s="13">
        <v>-8.6802480888500604</v>
      </c>
      <c r="E61" s="13">
        <v>40.693315201124101</v>
      </c>
      <c r="F61" s="13">
        <v>2025117</v>
      </c>
      <c r="G61" s="13" t="s">
        <v>434</v>
      </c>
      <c r="H61" s="13" t="s">
        <v>196</v>
      </c>
      <c r="I61" s="14" t="s">
        <v>379</v>
      </c>
      <c r="J61" s="14">
        <f>VLOOKUP($F61,'seagrass biomass'!$G:$L,2,FALSE)</f>
        <v>750</v>
      </c>
      <c r="K61" s="14">
        <f>VLOOKUP($F61,'seagrass biomass'!$G:$L,3,FALSE)</f>
        <v>345</v>
      </c>
      <c r="L61" s="14" t="s">
        <v>386</v>
      </c>
      <c r="M61" s="13">
        <v>100</v>
      </c>
      <c r="N61" s="13" t="s">
        <v>451</v>
      </c>
    </row>
    <row r="62" spans="1:15" x14ac:dyDescent="0.25">
      <c r="A62" s="2" t="s">
        <v>111</v>
      </c>
      <c r="B62" s="13" t="s">
        <v>75</v>
      </c>
      <c r="C62" s="13" t="s">
        <v>110</v>
      </c>
      <c r="D62" s="13">
        <v>-8.6801361707501616</v>
      </c>
      <c r="E62" s="13">
        <v>40.693210343642377</v>
      </c>
      <c r="F62" s="13">
        <v>2025118</v>
      </c>
      <c r="G62" s="13" t="s">
        <v>435</v>
      </c>
      <c r="H62" s="13" t="s">
        <v>197</v>
      </c>
      <c r="I62" s="14" t="s">
        <v>379</v>
      </c>
      <c r="J62" s="14">
        <f>VLOOKUP($F62,'seagrass biomass'!$G:$L,2,FALSE)</f>
        <v>1378</v>
      </c>
      <c r="K62" s="14">
        <f>VLOOKUP($F62,'seagrass biomass'!$G:$L,3,FALSE)</f>
        <v>929</v>
      </c>
      <c r="L62" s="14" t="str">
        <f>VLOOKUP($F62,'seagrass biomass'!C:F,4,FALSE)</f>
        <v>NIOZ lab</v>
      </c>
      <c r="M62" s="13">
        <v>100</v>
      </c>
      <c r="N62" s="13" t="s">
        <v>448</v>
      </c>
    </row>
    <row r="63" spans="1:15" x14ac:dyDescent="0.25">
      <c r="A63" s="2" t="s">
        <v>111</v>
      </c>
      <c r="B63" s="13" t="s">
        <v>82</v>
      </c>
      <c r="C63" s="13" t="s">
        <v>110</v>
      </c>
      <c r="D63" s="13">
        <v>-8.6792299043538836</v>
      </c>
      <c r="E63" s="13">
        <v>40.692476443160587</v>
      </c>
      <c r="F63" s="13">
        <v>2025119</v>
      </c>
      <c r="G63" s="13">
        <v>2025180</v>
      </c>
      <c r="H63" s="13" t="s">
        <v>193</v>
      </c>
      <c r="I63" s="14" t="s">
        <v>379</v>
      </c>
      <c r="J63" s="14">
        <f>VLOOKUP($F63,'seagrass biomass'!$G:$L,2,FALSE)</f>
        <v>754</v>
      </c>
      <c r="K63" s="14">
        <f>VLOOKUP($F63,'seagrass biomass'!$G:$L,3,FALSE)</f>
        <v>582</v>
      </c>
      <c r="L63" s="14" t="s">
        <v>386</v>
      </c>
      <c r="M63" s="13">
        <v>100</v>
      </c>
      <c r="N63" s="13" t="s">
        <v>449</v>
      </c>
    </row>
    <row r="64" spans="1:15" x14ac:dyDescent="0.25">
      <c r="A64" s="2" t="s">
        <v>111</v>
      </c>
      <c r="B64" s="2" t="s">
        <v>86</v>
      </c>
      <c r="C64" s="2" t="s">
        <v>110</v>
      </c>
      <c r="D64" s="2">
        <v>-8.6786745641752052</v>
      </c>
      <c r="E64" s="2">
        <v>40.692320841023538</v>
      </c>
      <c r="F64" s="2">
        <v>2025120</v>
      </c>
      <c r="G64" s="11">
        <v>2025174</v>
      </c>
      <c r="H64" s="2" t="s">
        <v>192</v>
      </c>
      <c r="I64" s="5" t="s">
        <v>376</v>
      </c>
      <c r="J64" s="5">
        <f>VLOOKUP($F64,'seagrass biomass'!$G:$L,2,FALSE)</f>
        <v>12</v>
      </c>
      <c r="K64" s="5">
        <f>VLOOKUP($F64,'seagrass biomass'!$G:$L,3,FALSE)</f>
        <v>118</v>
      </c>
      <c r="L64" s="5" t="s">
        <v>386</v>
      </c>
      <c r="O64" s="2" t="s">
        <v>131</v>
      </c>
    </row>
    <row r="65" spans="1:15" x14ac:dyDescent="0.25">
      <c r="A65" s="2" t="s">
        <v>111</v>
      </c>
      <c r="B65" s="13" t="s">
        <v>87</v>
      </c>
      <c r="C65" s="13" t="s">
        <v>110</v>
      </c>
      <c r="D65" s="13">
        <v>-8.6784701333539047</v>
      </c>
      <c r="E65" s="13">
        <v>40.692743542278471</v>
      </c>
      <c r="F65" s="13">
        <v>2025121</v>
      </c>
      <c r="G65" s="13">
        <v>2025161</v>
      </c>
      <c r="H65" s="13" t="s">
        <v>191</v>
      </c>
      <c r="I65" s="14" t="s">
        <v>376</v>
      </c>
      <c r="J65" s="14">
        <f>VLOOKUP($F65,'seagrass biomass'!$G:$L,2,FALSE)</f>
        <v>0</v>
      </c>
      <c r="K65" s="14">
        <f>VLOOKUP($F65,'seagrass biomass'!$G:$L,3,FALSE)</f>
        <v>0</v>
      </c>
      <c r="L65" s="14" t="s">
        <v>386</v>
      </c>
      <c r="M65" s="13">
        <v>0</v>
      </c>
      <c r="N65" s="13" t="s">
        <v>124</v>
      </c>
    </row>
    <row r="66" spans="1:15" x14ac:dyDescent="0.25">
      <c r="A66" s="2" t="s">
        <v>112</v>
      </c>
      <c r="B66" s="13" t="s">
        <v>106</v>
      </c>
      <c r="C66" s="13" t="s">
        <v>110</v>
      </c>
      <c r="D66" s="13">
        <v>-8.6785131647526086</v>
      </c>
      <c r="E66" s="13">
        <v>40.692871757557093</v>
      </c>
      <c r="F66" s="13">
        <v>2025122</v>
      </c>
      <c r="G66" s="13">
        <v>2025175</v>
      </c>
      <c r="H66" s="13" t="s">
        <v>190</v>
      </c>
      <c r="I66" s="14" t="s">
        <v>379</v>
      </c>
      <c r="J66" s="14">
        <f>VLOOKUP($F66,'seagrass biomass'!$G:$L,2,FALSE)</f>
        <v>2650</v>
      </c>
      <c r="K66" s="14">
        <f>VLOOKUP($F66,'seagrass biomass'!$G:$L,3,FALSE)</f>
        <v>1147</v>
      </c>
      <c r="L66" s="14" t="s">
        <v>386</v>
      </c>
      <c r="M66" s="13">
        <v>100</v>
      </c>
      <c r="N66" s="13" t="s">
        <v>450</v>
      </c>
    </row>
    <row r="67" spans="1:15" x14ac:dyDescent="0.25">
      <c r="A67" s="2" t="s">
        <v>111</v>
      </c>
      <c r="B67" s="13" t="s">
        <v>88</v>
      </c>
      <c r="C67" s="13" t="s">
        <v>110</v>
      </c>
      <c r="D67" s="13">
        <v>-8.6782656999336396</v>
      </c>
      <c r="E67" s="13">
        <v>40.693166243130648</v>
      </c>
      <c r="F67" s="13">
        <v>2025123</v>
      </c>
      <c r="G67" s="13">
        <v>2025173</v>
      </c>
      <c r="H67" s="13" t="s">
        <v>189</v>
      </c>
      <c r="I67" s="14" t="s">
        <v>376</v>
      </c>
      <c r="J67" s="14">
        <f>VLOOKUP($F67,'seagrass biomass'!$G:$L,2,FALSE)</f>
        <v>0</v>
      </c>
      <c r="K67" s="14">
        <f>VLOOKUP($F67,'seagrass biomass'!$G:$L,3,FALSE)</f>
        <v>0</v>
      </c>
      <c r="L67" s="14" t="s">
        <v>386</v>
      </c>
      <c r="M67" s="13">
        <v>0</v>
      </c>
      <c r="N67" s="13" t="s">
        <v>452</v>
      </c>
      <c r="O67" s="2" t="s">
        <v>126</v>
      </c>
    </row>
    <row r="68" spans="1:15" x14ac:dyDescent="0.25">
      <c r="A68" s="2" t="s">
        <v>112</v>
      </c>
      <c r="B68" s="2" t="s">
        <v>103</v>
      </c>
      <c r="C68" s="2" t="s">
        <v>110</v>
      </c>
      <c r="D68" s="2">
        <v>-8.6793569347963579</v>
      </c>
      <c r="E68" s="2">
        <v>40.69313871123439</v>
      </c>
      <c r="F68" s="2">
        <v>2025124</v>
      </c>
      <c r="G68" s="11">
        <v>2025186</v>
      </c>
      <c r="H68" s="2" t="s">
        <v>184</v>
      </c>
      <c r="I68" s="5" t="s">
        <v>379</v>
      </c>
      <c r="J68" s="5">
        <f>VLOOKUP($F68,'seagrass biomass'!$G:$L,2,FALSE)</f>
        <v>2564</v>
      </c>
      <c r="K68" s="5">
        <f>VLOOKUP($F68,'seagrass biomass'!$G:$L,3,FALSE)</f>
        <v>2102</v>
      </c>
      <c r="L68" s="5" t="s">
        <v>386</v>
      </c>
    </row>
    <row r="69" spans="1:15" x14ac:dyDescent="0.25">
      <c r="A69" s="2" t="s">
        <v>112</v>
      </c>
      <c r="B69" s="2" t="s">
        <v>96</v>
      </c>
      <c r="C69" s="2" t="s">
        <v>110</v>
      </c>
      <c r="D69" s="2">
        <v>-8.6806002699387559</v>
      </c>
      <c r="E69" s="2">
        <v>40.692889303471297</v>
      </c>
      <c r="F69" s="2">
        <v>2025125</v>
      </c>
      <c r="G69" s="2" t="s">
        <v>436</v>
      </c>
      <c r="H69" s="2" t="s">
        <v>198</v>
      </c>
      <c r="I69" s="5" t="s">
        <v>379</v>
      </c>
      <c r="J69" s="5">
        <f>VLOOKUP($F69,'seagrass biomass'!$G:$L,2,FALSE)</f>
        <v>1891</v>
      </c>
      <c r="K69" s="5">
        <f>VLOOKUP($F69,'seagrass biomass'!$G:$L,3,FALSE)</f>
        <v>891</v>
      </c>
      <c r="L69" s="5" t="s">
        <v>386</v>
      </c>
    </row>
    <row r="70" spans="1:15" x14ac:dyDescent="0.25">
      <c r="A70" s="2" t="s">
        <v>111</v>
      </c>
      <c r="B70" s="2" t="s">
        <v>70</v>
      </c>
      <c r="C70" s="2" t="s">
        <v>110</v>
      </c>
      <c r="D70" s="2">
        <v>-8.680895940482765</v>
      </c>
      <c r="E70" s="2">
        <v>40.692943233576912</v>
      </c>
      <c r="F70" s="2">
        <v>2025126</v>
      </c>
      <c r="G70" s="2">
        <v>15829</v>
      </c>
      <c r="H70" s="2" t="s">
        <v>199</v>
      </c>
      <c r="I70" s="5" t="s">
        <v>379</v>
      </c>
      <c r="J70" s="5">
        <f>VLOOKUP($F70,'seagrass biomass'!$G:$L,2,FALSE)</f>
        <v>2057</v>
      </c>
      <c r="K70" s="5">
        <f>VLOOKUP($F70,'seagrass biomass'!$G:$L,3,FALSE)</f>
        <v>1686</v>
      </c>
      <c r="L70" s="5" t="s">
        <v>386</v>
      </c>
    </row>
    <row r="71" spans="1:15" x14ac:dyDescent="0.25">
      <c r="A71" s="2" t="s">
        <v>112</v>
      </c>
      <c r="B71" s="2" t="s">
        <v>93</v>
      </c>
      <c r="C71" s="2" t="s">
        <v>110</v>
      </c>
      <c r="D71" s="2">
        <v>-8.6807898946885604</v>
      </c>
      <c r="E71" s="2">
        <v>40.693234831962783</v>
      </c>
      <c r="F71" s="2">
        <v>2025127</v>
      </c>
      <c r="G71" s="2">
        <v>15831</v>
      </c>
      <c r="H71" s="2" t="s">
        <v>200</v>
      </c>
      <c r="I71" s="5" t="s">
        <v>379</v>
      </c>
      <c r="J71" s="5">
        <f>VLOOKUP($F71,'seagrass biomass'!$G:$L,2,FALSE)</f>
        <v>926</v>
      </c>
      <c r="K71" s="5">
        <f>VLOOKUP($F71,'seagrass biomass'!$G:$L,3,FALSE)</f>
        <v>1187</v>
      </c>
      <c r="L71" s="5" t="s">
        <v>386</v>
      </c>
    </row>
    <row r="72" spans="1:15" x14ac:dyDescent="0.25">
      <c r="A72" s="2" t="s">
        <v>111</v>
      </c>
      <c r="B72" s="2" t="s">
        <v>71</v>
      </c>
      <c r="C72" s="2" t="s">
        <v>110</v>
      </c>
      <c r="D72" s="2">
        <v>-8.6806915217466312</v>
      </c>
      <c r="E72" s="2">
        <v>40.693365938765282</v>
      </c>
      <c r="F72" s="2">
        <v>2025128</v>
      </c>
      <c r="G72" s="2">
        <v>15842</v>
      </c>
      <c r="H72" s="2" t="s">
        <v>201</v>
      </c>
      <c r="I72" s="5" t="s">
        <v>379</v>
      </c>
      <c r="J72" s="5">
        <f>VLOOKUP($F72,'seagrass biomass'!$G:$L,2,FALSE)</f>
        <v>2434</v>
      </c>
      <c r="K72" s="5">
        <f>VLOOKUP($F72,'seagrass biomass'!$G:$L,3,FALSE)</f>
        <v>1076</v>
      </c>
      <c r="L72" s="5" t="s">
        <v>386</v>
      </c>
    </row>
    <row r="73" spans="1:15" x14ac:dyDescent="0.25">
      <c r="A73" s="2" t="s">
        <v>111</v>
      </c>
      <c r="B73" s="13" t="s">
        <v>72</v>
      </c>
      <c r="C73" s="13" t="s">
        <v>110</v>
      </c>
      <c r="D73" s="13">
        <v>-8.6804871004117139</v>
      </c>
      <c r="E73" s="13">
        <v>40.693788643550988</v>
      </c>
      <c r="F73" s="13">
        <v>2025129</v>
      </c>
      <c r="G73" s="13">
        <v>15851</v>
      </c>
      <c r="H73" s="13" t="s">
        <v>202</v>
      </c>
      <c r="I73" s="14" t="s">
        <v>379</v>
      </c>
      <c r="J73" s="14">
        <f>VLOOKUP($F73,'seagrass biomass'!$G:$L,2,FALSE)</f>
        <v>1517</v>
      </c>
      <c r="K73" s="14">
        <f>VLOOKUP($F73,'seagrass biomass'!$G:$L,3,FALSE)</f>
        <v>811</v>
      </c>
      <c r="L73" s="14" t="str">
        <f>VLOOKUP($F73,'seagrass biomass'!C:F,4,FALSE)</f>
        <v>NIOZ lab</v>
      </c>
      <c r="M73" s="13">
        <v>100</v>
      </c>
      <c r="N73" s="13" t="s">
        <v>447</v>
      </c>
      <c r="O73" s="27" t="s">
        <v>446</v>
      </c>
    </row>
    <row r="74" spans="1:15" x14ac:dyDescent="0.25">
      <c r="A74" s="2" t="s">
        <v>112</v>
      </c>
      <c r="B74" s="13" t="s">
        <v>98</v>
      </c>
      <c r="C74" s="13" t="s">
        <v>110</v>
      </c>
      <c r="D74" s="13">
        <v>-8.680218164835722</v>
      </c>
      <c r="E74" s="13">
        <v>40.693896024574173</v>
      </c>
      <c r="F74" s="13">
        <v>2025130</v>
      </c>
      <c r="G74" s="13">
        <v>15824</v>
      </c>
      <c r="H74" s="13" t="s">
        <v>203</v>
      </c>
      <c r="I74" s="14" t="s">
        <v>376</v>
      </c>
      <c r="J74" s="14">
        <f>VLOOKUP($F74,'seagrass biomass'!$G:$L,2,FALSE)</f>
        <v>0</v>
      </c>
      <c r="K74" s="14">
        <f>VLOOKUP($F74,'seagrass biomass'!$G:$L,3,FALSE)</f>
        <v>125</v>
      </c>
      <c r="L74" s="14" t="s">
        <v>386</v>
      </c>
      <c r="M74" s="13">
        <v>0</v>
      </c>
      <c r="N74" s="13" t="s">
        <v>454</v>
      </c>
      <c r="O74" s="27" t="s">
        <v>451</v>
      </c>
    </row>
    <row r="75" spans="1:15" x14ac:dyDescent="0.25">
      <c r="A75" s="2" t="s">
        <v>111</v>
      </c>
      <c r="B75" s="13" t="s">
        <v>73</v>
      </c>
      <c r="C75" s="13" t="s">
        <v>110</v>
      </c>
      <c r="D75" s="13">
        <v>-8.6802826764779333</v>
      </c>
      <c r="E75" s="13">
        <v>40.694211347934029</v>
      </c>
      <c r="F75" s="13">
        <v>2025131</v>
      </c>
      <c r="G75" s="13">
        <v>15844</v>
      </c>
      <c r="H75" s="13" t="s">
        <v>204</v>
      </c>
      <c r="I75" s="14" t="s">
        <v>379</v>
      </c>
      <c r="J75" s="14">
        <f>VLOOKUP($F75,'seagrass biomass'!$G:$L,2,FALSE)</f>
        <v>1040</v>
      </c>
      <c r="K75" s="14">
        <f>VLOOKUP($F75,'seagrass biomass'!$G:$L,3,FALSE)</f>
        <v>1642</v>
      </c>
      <c r="L75" s="14" t="str">
        <f>VLOOKUP($F75,'seagrass biomass'!C:F,4,FALSE)</f>
        <v>NIOZ lab</v>
      </c>
      <c r="M75" s="13">
        <v>100</v>
      </c>
      <c r="N75" s="13" t="s">
        <v>123</v>
      </c>
    </row>
    <row r="76" spans="1:15" x14ac:dyDescent="0.25">
      <c r="A76" s="2" t="s">
        <v>111</v>
      </c>
      <c r="B76" s="13" t="s">
        <v>69</v>
      </c>
      <c r="C76" s="13" t="s">
        <v>110</v>
      </c>
      <c r="D76" s="13">
        <v>-8.6808380361162971</v>
      </c>
      <c r="E76" s="13">
        <v>40.694366942357632</v>
      </c>
      <c r="F76" s="13">
        <v>2025132</v>
      </c>
      <c r="G76" s="13">
        <v>15832</v>
      </c>
      <c r="H76" s="13" t="s">
        <v>205</v>
      </c>
      <c r="I76" s="14" t="s">
        <v>379</v>
      </c>
      <c r="J76" s="14">
        <f>VLOOKUP($F76,'seagrass biomass'!$G:$L,2,FALSE)</f>
        <v>821</v>
      </c>
      <c r="K76" s="14">
        <f>VLOOKUP($F76,'seagrass biomass'!$G:$L,3,FALSE)</f>
        <v>561</v>
      </c>
      <c r="L76" s="14" t="s">
        <v>386</v>
      </c>
      <c r="M76" s="13">
        <v>100</v>
      </c>
      <c r="N76" s="13" t="s">
        <v>445</v>
      </c>
      <c r="O76" s="27" t="s">
        <v>125</v>
      </c>
    </row>
    <row r="77" spans="1:15" x14ac:dyDescent="0.25">
      <c r="A77" s="2" t="s">
        <v>112</v>
      </c>
      <c r="B77" s="2" t="s">
        <v>95</v>
      </c>
      <c r="C77" s="2" t="s">
        <v>110</v>
      </c>
      <c r="D77" s="2">
        <v>-8.6809415141559256</v>
      </c>
      <c r="E77" s="2">
        <v>40.694132565412772</v>
      </c>
      <c r="F77" s="2">
        <v>2025133</v>
      </c>
      <c r="G77" s="2">
        <v>15836</v>
      </c>
      <c r="H77" s="2" t="s">
        <v>206</v>
      </c>
      <c r="I77" s="5" t="s">
        <v>379</v>
      </c>
      <c r="J77" s="5">
        <f>VLOOKUP($F77,'seagrass biomass'!$G:$L,2,FALSE)</f>
        <v>951</v>
      </c>
      <c r="K77" s="5">
        <f>VLOOKUP($F77,'seagrass biomass'!$G:$L,3,FALSE)</f>
        <v>573.5</v>
      </c>
      <c r="L77" s="5" t="s">
        <v>386</v>
      </c>
    </row>
    <row r="78" spans="1:15" x14ac:dyDescent="0.25">
      <c r="A78" s="2" t="s">
        <v>112</v>
      </c>
      <c r="B78" s="2" t="s">
        <v>91</v>
      </c>
      <c r="C78" s="2" t="s">
        <v>110</v>
      </c>
      <c r="D78" s="2">
        <v>-8.6811687788549321</v>
      </c>
      <c r="E78" s="2">
        <v>40.693955148538137</v>
      </c>
      <c r="F78" s="2">
        <v>2025134</v>
      </c>
      <c r="G78" s="2">
        <v>15837</v>
      </c>
      <c r="H78" s="2" t="s">
        <v>207</v>
      </c>
      <c r="I78" s="5" t="s">
        <v>377</v>
      </c>
      <c r="J78" s="5">
        <f>VLOOKUP($F78,'seagrass biomass'!$G:$L,2,FALSE)</f>
        <v>12</v>
      </c>
      <c r="K78" s="5">
        <f>VLOOKUP($F78,'seagrass biomass'!$G:$L,3,FALSE)</f>
        <v>0</v>
      </c>
      <c r="L78" s="5" t="s">
        <v>386</v>
      </c>
    </row>
    <row r="79" spans="1:15" x14ac:dyDescent="0.25">
      <c r="A79" s="2" t="s">
        <v>111</v>
      </c>
      <c r="B79" s="2" t="s">
        <v>68</v>
      </c>
      <c r="C79" s="2" t="s">
        <v>110</v>
      </c>
      <c r="D79" s="2">
        <v>-8.6810424570285019</v>
      </c>
      <c r="E79" s="2">
        <v>40.69394423699125</v>
      </c>
      <c r="F79" s="2">
        <v>2025135</v>
      </c>
      <c r="G79" s="2">
        <v>15825</v>
      </c>
      <c r="H79" s="2" t="s">
        <v>208</v>
      </c>
      <c r="I79" s="5" t="s">
        <v>376</v>
      </c>
      <c r="J79" s="5">
        <f>VLOOKUP($F79,'seagrass biomass'!$G:$L,2,FALSE)</f>
        <v>0</v>
      </c>
      <c r="K79" s="5">
        <f>VLOOKUP($F79,'seagrass biomass'!$G:$L,3,FALSE)</f>
        <v>0</v>
      </c>
      <c r="L79" s="5" t="s">
        <v>386</v>
      </c>
    </row>
    <row r="80" spans="1:15" x14ac:dyDescent="0.25">
      <c r="A80" s="2" t="s">
        <v>112</v>
      </c>
      <c r="B80" s="2" t="s">
        <v>94</v>
      </c>
      <c r="C80" s="2" t="s">
        <v>110</v>
      </c>
      <c r="D80" s="2">
        <v>-8.6809817953040636</v>
      </c>
      <c r="E80" s="2">
        <v>40.693613677832673</v>
      </c>
      <c r="F80" s="2">
        <v>2025136</v>
      </c>
      <c r="G80" s="2">
        <v>15849</v>
      </c>
      <c r="H80" s="2" t="s">
        <v>209</v>
      </c>
      <c r="I80" s="5" t="s">
        <v>379</v>
      </c>
      <c r="J80" s="5">
        <f>VLOOKUP($F80,'seagrass biomass'!$G:$L,2,FALSE)</f>
        <v>1396</v>
      </c>
      <c r="K80" s="5">
        <f>VLOOKUP($F80,'seagrass biomass'!$G:$L,3,FALSE)</f>
        <v>916</v>
      </c>
      <c r="L80" s="5" t="str">
        <f>VLOOKUP($F80,'seagrass biomass'!C:F,4,FALSE)</f>
        <v>NIOZ lab</v>
      </c>
    </row>
    <row r="81" spans="1:15" x14ac:dyDescent="0.25">
      <c r="A81" s="2" t="s">
        <v>111</v>
      </c>
      <c r="B81" s="2" t="s">
        <v>67</v>
      </c>
      <c r="C81" s="2" t="s">
        <v>110</v>
      </c>
      <c r="D81" s="2">
        <v>-8.6812468753418877</v>
      </c>
      <c r="E81" s="2">
        <v>40.693521531222231</v>
      </c>
      <c r="F81" s="2">
        <v>2025137</v>
      </c>
      <c r="G81" s="2">
        <v>15850</v>
      </c>
      <c r="H81" s="2" t="s">
        <v>210</v>
      </c>
      <c r="I81" s="5" t="s">
        <v>379</v>
      </c>
      <c r="J81" s="5">
        <f>VLOOKUP($F81,'seagrass biomass'!$G:$L,2,FALSE)</f>
        <v>1476</v>
      </c>
      <c r="K81" s="5">
        <f>VLOOKUP($F81,'seagrass biomass'!$G:$L,3,FALSE)</f>
        <v>1194</v>
      </c>
      <c r="L81" s="5" t="s">
        <v>386</v>
      </c>
    </row>
    <row r="82" spans="1:15" x14ac:dyDescent="0.25">
      <c r="A82" s="2" t="s">
        <v>112</v>
      </c>
      <c r="B82" s="2" t="s">
        <v>90</v>
      </c>
      <c r="C82" s="2" t="s">
        <v>110</v>
      </c>
      <c r="D82" s="2">
        <v>-8.6814587951708617</v>
      </c>
      <c r="E82" s="2">
        <v>40.693563920558177</v>
      </c>
      <c r="F82" s="2">
        <v>2025138</v>
      </c>
      <c r="G82" s="2">
        <v>15845</v>
      </c>
      <c r="H82" s="2" t="s">
        <v>211</v>
      </c>
      <c r="I82" s="5" t="s">
        <v>379</v>
      </c>
      <c r="J82" s="5">
        <f>VLOOKUP($F82,'seagrass biomass'!$G:$L,2,FALSE)</f>
        <v>1220</v>
      </c>
      <c r="K82" s="5">
        <f>VLOOKUP($F82,'seagrass biomass'!$G:$L,3,FALSE)</f>
        <v>2529</v>
      </c>
      <c r="L82" s="5" t="s">
        <v>386</v>
      </c>
    </row>
    <row r="83" spans="1:15" x14ac:dyDescent="0.25">
      <c r="A83" s="2" t="s">
        <v>111</v>
      </c>
      <c r="B83" s="2" t="s">
        <v>62</v>
      </c>
      <c r="C83" s="2" t="s">
        <v>110</v>
      </c>
      <c r="D83" s="2">
        <v>-8.6820066442289558</v>
      </c>
      <c r="E83" s="2">
        <v>40.693254413858291</v>
      </c>
      <c r="F83" s="2">
        <v>2025139</v>
      </c>
      <c r="G83" s="2">
        <v>15826</v>
      </c>
      <c r="H83" s="2" t="s">
        <v>212</v>
      </c>
      <c r="I83" s="5" t="s">
        <v>379</v>
      </c>
      <c r="J83" s="5">
        <f>VLOOKUP($F83,'seagrass biomass'!$G:$L,2,FALSE)</f>
        <v>780</v>
      </c>
      <c r="K83" s="5">
        <f>VLOOKUP($F83,'seagrass biomass'!$G:$L,3,FALSE)</f>
        <v>557</v>
      </c>
      <c r="L83" s="5" t="str">
        <f>VLOOKUP($F83,'seagrass biomass'!C:F,4,FALSE)</f>
        <v>NIOZ lab</v>
      </c>
    </row>
    <row r="84" spans="1:15" x14ac:dyDescent="0.25">
      <c r="A84" s="2" t="s">
        <v>111</v>
      </c>
      <c r="B84" s="2" t="s">
        <v>63</v>
      </c>
      <c r="C84" s="2" t="s">
        <v>110</v>
      </c>
      <c r="D84" s="2">
        <v>-8.6818022315358814</v>
      </c>
      <c r="E84" s="2">
        <v>40.693677121013202</v>
      </c>
      <c r="F84" s="2">
        <v>2025140</v>
      </c>
      <c r="G84" s="2">
        <v>15841</v>
      </c>
      <c r="H84" s="2" t="s">
        <v>213</v>
      </c>
      <c r="I84" s="5" t="s">
        <v>379</v>
      </c>
      <c r="J84" s="5">
        <f>VLOOKUP($F84,'seagrass biomass'!$G:$L,2,FALSE)</f>
        <v>1415</v>
      </c>
      <c r="K84" s="5">
        <f>VLOOKUP($F84,'seagrass biomass'!$G:$L,3,FALSE)</f>
        <v>833</v>
      </c>
      <c r="L84" s="5" t="s">
        <v>386</v>
      </c>
    </row>
    <row r="85" spans="1:15" x14ac:dyDescent="0.25">
      <c r="A85" s="2" t="s">
        <v>111</v>
      </c>
      <c r="B85" s="2" t="s">
        <v>64</v>
      </c>
      <c r="C85" s="2" t="s">
        <v>110</v>
      </c>
      <c r="D85" s="2">
        <v>-8.6815978162441088</v>
      </c>
      <c r="E85" s="2">
        <v>40.694099827765491</v>
      </c>
      <c r="F85" s="2">
        <v>2025141</v>
      </c>
      <c r="G85" s="2">
        <v>15830</v>
      </c>
      <c r="H85" s="2" t="s">
        <v>214</v>
      </c>
      <c r="I85" s="5" t="s">
        <v>379</v>
      </c>
      <c r="J85" s="5">
        <f>VLOOKUP($F85,'seagrass biomass'!$G:$L,2,FALSE)</f>
        <v>1552</v>
      </c>
      <c r="K85" s="5">
        <f>VLOOKUP($F85,'seagrass biomass'!$G:$L,3,FALSE)</f>
        <v>561</v>
      </c>
      <c r="L85" s="5" t="s">
        <v>386</v>
      </c>
    </row>
    <row r="86" spans="1:15" x14ac:dyDescent="0.25">
      <c r="A86" s="2" t="s">
        <v>111</v>
      </c>
      <c r="B86" s="2" t="s">
        <v>65</v>
      </c>
      <c r="C86" s="2" t="s">
        <v>110</v>
      </c>
      <c r="D86" s="2">
        <v>-8.6813933983535598</v>
      </c>
      <c r="E86" s="2">
        <v>40.694522534115187</v>
      </c>
      <c r="F86" s="2">
        <v>2025142</v>
      </c>
      <c r="G86" s="2">
        <v>15838</v>
      </c>
      <c r="H86" s="2" t="s">
        <v>215</v>
      </c>
      <c r="I86" s="5" t="s">
        <v>379</v>
      </c>
      <c r="J86" s="5">
        <f>VLOOKUP($F86,'seagrass biomass'!$G:$L,2,FALSE)</f>
        <v>2799</v>
      </c>
      <c r="K86" s="5">
        <f>VLOOKUP($F86,'seagrass biomass'!$G:$L,3,FALSE)</f>
        <v>1299</v>
      </c>
      <c r="L86" s="5" t="s">
        <v>386</v>
      </c>
    </row>
    <row r="87" spans="1:15" x14ac:dyDescent="0.25">
      <c r="A87" s="2" t="s">
        <v>111</v>
      </c>
      <c r="B87" s="2" t="s">
        <v>21</v>
      </c>
      <c r="C87" s="2" t="s">
        <v>109</v>
      </c>
      <c r="D87" s="2">
        <v>-8.6897566949289704</v>
      </c>
      <c r="E87" s="2">
        <v>40.673428604960243</v>
      </c>
      <c r="I87" s="5" t="s">
        <v>57</v>
      </c>
    </row>
    <row r="88" spans="1:15" x14ac:dyDescent="0.25">
      <c r="A88" s="2" t="s">
        <v>111</v>
      </c>
      <c r="B88" s="2" t="s">
        <v>27</v>
      </c>
      <c r="C88" s="2" t="s">
        <v>109</v>
      </c>
      <c r="D88" s="2">
        <v>-8.6900685856909305</v>
      </c>
      <c r="E88" s="2">
        <v>40.672449798669959</v>
      </c>
      <c r="I88" s="5" t="s">
        <v>57</v>
      </c>
    </row>
    <row r="89" spans="1:15" x14ac:dyDescent="0.25">
      <c r="A89" s="2" t="s">
        <v>111</v>
      </c>
      <c r="B89" s="2" t="s">
        <v>28</v>
      </c>
      <c r="C89" s="2" t="s">
        <v>109</v>
      </c>
      <c r="D89" s="2">
        <v>-8.6896867181544302</v>
      </c>
      <c r="E89" s="2">
        <v>40.672793827457873</v>
      </c>
      <c r="I89" s="5" t="s">
        <v>57</v>
      </c>
    </row>
    <row r="90" spans="1:15" x14ac:dyDescent="0.25">
      <c r="A90" s="2" t="s">
        <v>111</v>
      </c>
      <c r="B90" s="2" t="s">
        <v>29</v>
      </c>
      <c r="C90" s="2" t="s">
        <v>109</v>
      </c>
      <c r="D90" s="2">
        <v>-8.6893048466892626</v>
      </c>
      <c r="E90" s="2">
        <v>40.673137854947939</v>
      </c>
      <c r="I90" s="5" t="s">
        <v>57</v>
      </c>
    </row>
    <row r="91" spans="1:15" x14ac:dyDescent="0.25">
      <c r="A91" s="2" t="s">
        <v>111</v>
      </c>
      <c r="B91" s="2" t="s">
        <v>30</v>
      </c>
      <c r="C91" s="2" t="s">
        <v>109</v>
      </c>
      <c r="D91" s="2">
        <v>-8.688922971295348</v>
      </c>
      <c r="E91" s="2">
        <v>40.673481881140113</v>
      </c>
      <c r="I91" s="5" t="s">
        <v>57</v>
      </c>
    </row>
    <row r="92" spans="1:15" x14ac:dyDescent="0.25">
      <c r="A92" s="2" t="s">
        <v>111</v>
      </c>
      <c r="B92" s="2" t="s">
        <v>31</v>
      </c>
      <c r="C92" s="2" t="s">
        <v>109</v>
      </c>
      <c r="D92" s="2">
        <v>-8.6885410919726134</v>
      </c>
      <c r="E92" s="2">
        <v>40.673825906034352</v>
      </c>
      <c r="I92" s="5" t="s">
        <v>57</v>
      </c>
    </row>
    <row r="93" spans="1:15" x14ac:dyDescent="0.25">
      <c r="A93" s="2" t="s">
        <v>111</v>
      </c>
      <c r="B93" s="2" t="s">
        <v>33</v>
      </c>
      <c r="C93" s="2" t="s">
        <v>109</v>
      </c>
      <c r="D93" s="2">
        <v>-8.6877773215403682</v>
      </c>
      <c r="E93" s="2">
        <v>40.674513951928837</v>
      </c>
      <c r="I93" s="5" t="s">
        <v>57</v>
      </c>
    </row>
    <row r="94" spans="1:15" x14ac:dyDescent="0.25">
      <c r="A94" s="2" t="s">
        <v>112</v>
      </c>
      <c r="B94" s="2" t="s">
        <v>34</v>
      </c>
      <c r="C94" s="2" t="s">
        <v>109</v>
      </c>
      <c r="D94" s="2">
        <v>-8.6914380556707549</v>
      </c>
      <c r="E94" s="2">
        <v>40.673146740160718</v>
      </c>
      <c r="I94" s="5" t="s">
        <v>56</v>
      </c>
    </row>
    <row r="95" spans="1:15" x14ac:dyDescent="0.25">
      <c r="A95" s="2" t="s">
        <v>112</v>
      </c>
      <c r="B95" s="2" t="s">
        <v>43</v>
      </c>
      <c r="C95" s="2" t="s">
        <v>109</v>
      </c>
      <c r="D95" s="2">
        <v>-8.6901231642737375</v>
      </c>
      <c r="E95" s="2">
        <v>40.673422172042883</v>
      </c>
      <c r="O95" s="2" t="s">
        <v>438</v>
      </c>
    </row>
    <row r="96" spans="1:15" x14ac:dyDescent="0.25">
      <c r="A96" s="2" t="s">
        <v>112</v>
      </c>
      <c r="B96" s="2" t="s">
        <v>51</v>
      </c>
      <c r="C96" s="2" t="s">
        <v>109</v>
      </c>
      <c r="D96" s="2">
        <v>-8.689664243430629</v>
      </c>
      <c r="E96" s="2">
        <v>40.673417487361718</v>
      </c>
      <c r="I96" s="5" t="s">
        <v>57</v>
      </c>
    </row>
    <row r="97" spans="1:9" x14ac:dyDescent="0.25">
      <c r="A97" s="2" t="s">
        <v>112</v>
      </c>
      <c r="B97" s="2" t="s">
        <v>54</v>
      </c>
      <c r="C97" s="2" t="s">
        <v>109</v>
      </c>
      <c r="D97" s="2">
        <v>-8.6880517055060107</v>
      </c>
      <c r="E97" s="2">
        <v>40.674507767927551</v>
      </c>
      <c r="I97" s="5" t="s">
        <v>57</v>
      </c>
    </row>
    <row r="98" spans="1:9" x14ac:dyDescent="0.25">
      <c r="A98" s="2" t="s">
        <v>111</v>
      </c>
      <c r="B98" s="2" t="s">
        <v>66</v>
      </c>
      <c r="C98" s="2" t="s">
        <v>110</v>
      </c>
      <c r="D98" s="2">
        <v>-8.6814512910565291</v>
      </c>
      <c r="E98" s="2">
        <v>40.693098825050583</v>
      </c>
      <c r="I98" s="5" t="s">
        <v>57</v>
      </c>
    </row>
    <row r="99" spans="1:9" x14ac:dyDescent="0.25">
      <c r="A99" s="2" t="s">
        <v>112</v>
      </c>
      <c r="B99" s="2" t="s">
        <v>92</v>
      </c>
      <c r="C99" s="2" t="s">
        <v>110</v>
      </c>
      <c r="D99" s="2">
        <v>-8.6811372994927538</v>
      </c>
      <c r="E99" s="2">
        <v>40.69418956605297</v>
      </c>
      <c r="I99" s="5" t="s">
        <v>56</v>
      </c>
    </row>
    <row r="100" spans="1:9" x14ac:dyDescent="0.25">
      <c r="A100" s="2" t="s">
        <v>112</v>
      </c>
      <c r="B100" s="2" t="s">
        <v>104</v>
      </c>
      <c r="C100" s="2" t="s">
        <v>110</v>
      </c>
      <c r="D100" s="2">
        <v>-8.678956450129661</v>
      </c>
      <c r="E100" s="2">
        <v>40.693785384236108</v>
      </c>
      <c r="I100" s="5" t="s">
        <v>57</v>
      </c>
    </row>
  </sheetData>
  <autoFilter ref="A1:O100"/>
  <sortState ref="A2:O100">
    <sortCondition ref="F2:F100"/>
  </sortState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9"/>
  <sheetViews>
    <sheetView workbookViewId="0"/>
  </sheetViews>
  <sheetFormatPr defaultColWidth="8.7109375" defaultRowHeight="15" x14ac:dyDescent="0.25"/>
  <cols>
    <col min="1" max="4" width="8.7109375" style="2"/>
    <col min="5" max="6" width="15.140625" style="2" customWidth="1"/>
    <col min="7" max="7" width="25.5703125" style="2" bestFit="1" customWidth="1"/>
    <col min="8" max="8" width="16.28515625" style="2" bestFit="1" customWidth="1"/>
    <col min="9" max="9" width="12" style="2" bestFit="1" customWidth="1"/>
    <col min="10" max="10" width="7.28515625" style="2" bestFit="1" customWidth="1"/>
    <col min="11" max="11" width="12" style="2" bestFit="1" customWidth="1"/>
    <col min="12" max="16384" width="8.7109375" style="2"/>
  </cols>
  <sheetData>
    <row r="1" spans="1:18" x14ac:dyDescent="0.25">
      <c r="A1" s="2" t="s">
        <v>374</v>
      </c>
      <c r="B1" s="2" t="s">
        <v>220</v>
      </c>
      <c r="C1" s="2" t="s">
        <v>373</v>
      </c>
      <c r="D1" s="2" t="s">
        <v>368</v>
      </c>
      <c r="E1" s="2" t="s">
        <v>221</v>
      </c>
      <c r="F1" s="2" t="s">
        <v>59</v>
      </c>
      <c r="G1" s="6" t="s">
        <v>385</v>
      </c>
      <c r="H1" s="6" t="s">
        <v>380</v>
      </c>
      <c r="O1" s="7" t="s">
        <v>216</v>
      </c>
      <c r="P1" s="8"/>
      <c r="Q1" s="8"/>
      <c r="R1" s="8"/>
    </row>
    <row r="2" spans="1:18" x14ac:dyDescent="0.25">
      <c r="A2" s="2">
        <v>1</v>
      </c>
      <c r="B2" s="2" t="s">
        <v>222</v>
      </c>
      <c r="C2" s="2">
        <v>2025010</v>
      </c>
      <c r="D2" s="2" t="s">
        <v>369</v>
      </c>
      <c r="E2" s="2">
        <v>2797</v>
      </c>
      <c r="G2" s="6" t="s">
        <v>381</v>
      </c>
      <c r="H2" s="2" t="s">
        <v>369</v>
      </c>
      <c r="I2" s="2" t="s">
        <v>370</v>
      </c>
      <c r="J2" s="2" t="s">
        <v>382</v>
      </c>
      <c r="K2" s="2" t="s">
        <v>383</v>
      </c>
      <c r="L2" s="1"/>
      <c r="O2" s="7" t="s">
        <v>217</v>
      </c>
      <c r="P2" s="8"/>
      <c r="Q2" s="8"/>
      <c r="R2" s="8" t="s">
        <v>218</v>
      </c>
    </row>
    <row r="3" spans="1:18" x14ac:dyDescent="0.25">
      <c r="A3" s="2">
        <v>2</v>
      </c>
      <c r="B3" s="2" t="s">
        <v>224</v>
      </c>
      <c r="C3" s="2">
        <v>2025010</v>
      </c>
      <c r="D3" s="2" t="s">
        <v>370</v>
      </c>
      <c r="E3" s="2">
        <v>1048</v>
      </c>
      <c r="G3" s="15">
        <v>2025003</v>
      </c>
      <c r="H3" s="29">
        <v>315</v>
      </c>
      <c r="I3" s="29">
        <v>250</v>
      </c>
      <c r="J3" s="29"/>
      <c r="K3" s="29">
        <v>282.5</v>
      </c>
      <c r="O3" s="7"/>
      <c r="P3" s="8"/>
      <c r="Q3" s="8"/>
      <c r="R3" s="8" t="s">
        <v>219</v>
      </c>
    </row>
    <row r="4" spans="1:18" x14ac:dyDescent="0.25">
      <c r="A4" s="2">
        <v>3</v>
      </c>
      <c r="B4" s="2" t="s">
        <v>225</v>
      </c>
      <c r="C4" s="2">
        <v>2025113</v>
      </c>
      <c r="D4" s="2" t="s">
        <v>369</v>
      </c>
      <c r="E4" s="2">
        <v>1876</v>
      </c>
      <c r="G4" s="2">
        <v>2025004</v>
      </c>
      <c r="H4" s="28">
        <v>42</v>
      </c>
      <c r="I4" s="28">
        <v>141</v>
      </c>
      <c r="J4" s="28"/>
      <c r="K4" s="28">
        <v>91.5</v>
      </c>
      <c r="O4" s="9" t="s">
        <v>220</v>
      </c>
      <c r="P4" s="9" t="s">
        <v>221</v>
      </c>
      <c r="Q4" s="8"/>
      <c r="R4" s="8"/>
    </row>
    <row r="5" spans="1:18" x14ac:dyDescent="0.25">
      <c r="A5" s="2">
        <v>4</v>
      </c>
      <c r="B5" s="2" t="s">
        <v>226</v>
      </c>
      <c r="C5" s="2">
        <v>2025113</v>
      </c>
      <c r="D5" s="2" t="s">
        <v>370</v>
      </c>
      <c r="E5" s="2">
        <v>608</v>
      </c>
      <c r="G5" s="2">
        <v>2025005</v>
      </c>
      <c r="H5" s="28">
        <v>2222</v>
      </c>
      <c r="I5" s="28">
        <v>939</v>
      </c>
      <c r="J5" s="28"/>
      <c r="K5" s="28">
        <v>1580.5</v>
      </c>
      <c r="O5" s="20" t="s">
        <v>222</v>
      </c>
      <c r="P5" s="20">
        <v>2797</v>
      </c>
      <c r="Q5" s="8"/>
      <c r="R5" s="8" t="s">
        <v>223</v>
      </c>
    </row>
    <row r="6" spans="1:18" x14ac:dyDescent="0.25">
      <c r="A6" s="2">
        <v>5</v>
      </c>
      <c r="B6" s="2" t="s">
        <v>227</v>
      </c>
      <c r="C6" s="2">
        <v>2025115</v>
      </c>
      <c r="D6" s="2" t="s">
        <v>369</v>
      </c>
      <c r="E6" s="2">
        <f>3982-6.2</f>
        <v>3975.8</v>
      </c>
      <c r="G6" s="2">
        <v>2025006</v>
      </c>
      <c r="H6" s="28">
        <v>17</v>
      </c>
      <c r="I6" s="28">
        <v>0</v>
      </c>
      <c r="J6" s="28"/>
      <c r="K6" s="28">
        <v>8.5</v>
      </c>
      <c r="O6" s="20" t="s">
        <v>224</v>
      </c>
      <c r="P6" s="20">
        <v>1048</v>
      </c>
      <c r="Q6" s="8"/>
      <c r="R6" s="8"/>
    </row>
    <row r="7" spans="1:18" x14ac:dyDescent="0.25">
      <c r="A7" s="2">
        <v>6</v>
      </c>
      <c r="B7" s="2" t="s">
        <v>228</v>
      </c>
      <c r="C7" s="2">
        <v>2025115</v>
      </c>
      <c r="D7" s="2" t="s">
        <v>370</v>
      </c>
      <c r="E7" s="2">
        <v>2080</v>
      </c>
      <c r="G7" s="2">
        <v>2025007</v>
      </c>
      <c r="H7" s="28">
        <v>0</v>
      </c>
      <c r="I7" s="28">
        <v>0</v>
      </c>
      <c r="J7" s="28"/>
      <c r="K7" s="28">
        <v>0</v>
      </c>
      <c r="O7" s="10" t="s">
        <v>225</v>
      </c>
      <c r="P7" s="10">
        <v>1876</v>
      </c>
      <c r="Q7" s="8"/>
      <c r="R7" s="8"/>
    </row>
    <row r="8" spans="1:18" x14ac:dyDescent="0.25">
      <c r="A8" s="2">
        <v>7</v>
      </c>
      <c r="B8" s="2" t="s">
        <v>229</v>
      </c>
      <c r="C8" s="2">
        <v>2025116</v>
      </c>
      <c r="D8" s="2" t="s">
        <v>369</v>
      </c>
      <c r="E8" s="2">
        <v>3531</v>
      </c>
      <c r="G8" s="2">
        <v>2025008</v>
      </c>
      <c r="H8" s="28">
        <v>2418</v>
      </c>
      <c r="I8" s="28">
        <v>1706</v>
      </c>
      <c r="J8" s="28"/>
      <c r="K8" s="28">
        <v>2062</v>
      </c>
      <c r="O8" s="10" t="s">
        <v>226</v>
      </c>
      <c r="P8" s="10">
        <v>608</v>
      </c>
      <c r="Q8" s="8"/>
      <c r="R8" s="8"/>
    </row>
    <row r="9" spans="1:18" x14ac:dyDescent="0.25">
      <c r="A9" s="2">
        <v>8</v>
      </c>
      <c r="B9" s="2" t="s">
        <v>230</v>
      </c>
      <c r="C9" s="2">
        <v>2025116</v>
      </c>
      <c r="D9" s="2" t="s">
        <v>370</v>
      </c>
      <c r="E9" s="2">
        <v>2364</v>
      </c>
      <c r="G9" s="2">
        <v>2025009</v>
      </c>
      <c r="H9" s="28">
        <v>1377</v>
      </c>
      <c r="I9" s="28">
        <v>1864</v>
      </c>
      <c r="J9" s="28"/>
      <c r="K9" s="28">
        <v>1620.5</v>
      </c>
      <c r="O9" s="10" t="s">
        <v>227</v>
      </c>
      <c r="P9" s="10">
        <f>3982-6.2</f>
        <v>3975.8</v>
      </c>
      <c r="Q9" s="8"/>
      <c r="R9" s="8"/>
    </row>
    <row r="10" spans="1:18" x14ac:dyDescent="0.25">
      <c r="A10" s="2">
        <v>9</v>
      </c>
      <c r="B10" s="2" t="s">
        <v>231</v>
      </c>
      <c r="C10" s="2">
        <v>2025117</v>
      </c>
      <c r="D10" s="2" t="s">
        <v>369</v>
      </c>
      <c r="E10" s="2">
        <v>750</v>
      </c>
      <c r="G10" s="2">
        <v>2025010</v>
      </c>
      <c r="H10" s="28">
        <v>2797</v>
      </c>
      <c r="I10" s="28">
        <v>1048</v>
      </c>
      <c r="J10" s="28"/>
      <c r="K10" s="28">
        <v>1922.5</v>
      </c>
      <c r="O10" s="10" t="s">
        <v>228</v>
      </c>
      <c r="P10" s="10">
        <v>2080</v>
      </c>
      <c r="Q10" s="8"/>
      <c r="R10" s="8"/>
    </row>
    <row r="11" spans="1:18" x14ac:dyDescent="0.25">
      <c r="A11" s="2">
        <v>10</v>
      </c>
      <c r="B11" s="2" t="s">
        <v>232</v>
      </c>
      <c r="C11" s="2">
        <v>2025117</v>
      </c>
      <c r="D11" s="2" t="s">
        <v>370</v>
      </c>
      <c r="E11" s="2">
        <v>345</v>
      </c>
      <c r="G11" s="2">
        <v>2025011</v>
      </c>
      <c r="H11" s="28">
        <v>3628</v>
      </c>
      <c r="I11" s="28">
        <v>977</v>
      </c>
      <c r="J11" s="28"/>
      <c r="K11" s="28">
        <v>2302.5</v>
      </c>
      <c r="O11" s="10" t="s">
        <v>229</v>
      </c>
      <c r="P11" s="10">
        <v>3531</v>
      </c>
      <c r="Q11" s="8"/>
      <c r="R11" s="8"/>
    </row>
    <row r="12" spans="1:18" x14ac:dyDescent="0.25">
      <c r="A12" s="2">
        <v>11</v>
      </c>
      <c r="B12" s="2" t="s">
        <v>233</v>
      </c>
      <c r="C12" s="2">
        <v>2025119</v>
      </c>
      <c r="D12" s="2" t="s">
        <v>369</v>
      </c>
      <c r="E12" s="2">
        <v>754</v>
      </c>
      <c r="G12" s="2">
        <v>2025012</v>
      </c>
      <c r="H12" s="28">
        <v>0</v>
      </c>
      <c r="I12" s="28">
        <v>0</v>
      </c>
      <c r="J12" s="28"/>
      <c r="K12" s="28">
        <v>0</v>
      </c>
      <c r="O12" s="10" t="s">
        <v>230</v>
      </c>
      <c r="P12" s="10">
        <v>2364</v>
      </c>
      <c r="Q12" s="8"/>
      <c r="R12" s="8"/>
    </row>
    <row r="13" spans="1:18" x14ac:dyDescent="0.25">
      <c r="A13" s="2">
        <v>12</v>
      </c>
      <c r="B13" s="2" t="s">
        <v>234</v>
      </c>
      <c r="C13" s="2">
        <v>2025119</v>
      </c>
      <c r="D13" s="2" t="s">
        <v>370</v>
      </c>
      <c r="E13" s="2">
        <v>582</v>
      </c>
      <c r="G13" s="2">
        <v>2025013</v>
      </c>
      <c r="H13" s="28">
        <v>1701</v>
      </c>
      <c r="I13" s="28">
        <v>1821</v>
      </c>
      <c r="J13" s="28"/>
      <c r="K13" s="28">
        <v>1761</v>
      </c>
      <c r="O13" s="10" t="s">
        <v>231</v>
      </c>
      <c r="P13" s="10">
        <v>750</v>
      </c>
      <c r="Q13" s="8"/>
      <c r="R13" s="8"/>
    </row>
    <row r="14" spans="1:18" x14ac:dyDescent="0.25">
      <c r="A14" s="2">
        <v>13</v>
      </c>
      <c r="B14" s="2" t="s">
        <v>235</v>
      </c>
      <c r="C14" s="2">
        <v>2025011</v>
      </c>
      <c r="D14" s="2" t="s">
        <v>369</v>
      </c>
      <c r="E14" s="2">
        <v>3628</v>
      </c>
      <c r="G14" s="2">
        <v>2025014</v>
      </c>
      <c r="H14" s="28">
        <v>0</v>
      </c>
      <c r="I14" s="28">
        <v>0</v>
      </c>
      <c r="J14" s="28"/>
      <c r="K14" s="28">
        <v>0</v>
      </c>
      <c r="O14" s="10" t="s">
        <v>232</v>
      </c>
      <c r="P14" s="10">
        <v>345</v>
      </c>
      <c r="Q14" s="8"/>
      <c r="R14" s="8"/>
    </row>
    <row r="15" spans="1:18" x14ac:dyDescent="0.25">
      <c r="A15" s="2">
        <v>14</v>
      </c>
      <c r="B15" s="2" t="s">
        <v>236</v>
      </c>
      <c r="C15" s="2">
        <v>2025011</v>
      </c>
      <c r="D15" s="2" t="s">
        <v>370</v>
      </c>
      <c r="E15" s="2">
        <v>977</v>
      </c>
      <c r="G15" s="2">
        <v>2025015</v>
      </c>
      <c r="H15" s="28">
        <v>31</v>
      </c>
      <c r="I15" s="28">
        <v>189</v>
      </c>
      <c r="J15" s="28"/>
      <c r="K15" s="28">
        <v>110</v>
      </c>
      <c r="O15" s="20" t="s">
        <v>233</v>
      </c>
      <c r="P15" s="20">
        <v>754</v>
      </c>
      <c r="Q15" s="8"/>
      <c r="R15" s="8"/>
    </row>
    <row r="16" spans="1:18" x14ac:dyDescent="0.25">
      <c r="A16" s="2">
        <v>15</v>
      </c>
      <c r="B16" s="2" t="s">
        <v>237</v>
      </c>
      <c r="C16" s="2">
        <v>2025120</v>
      </c>
      <c r="D16" s="2" t="s">
        <v>369</v>
      </c>
      <c r="E16" s="2">
        <v>12</v>
      </c>
      <c r="G16" s="2">
        <v>2025016</v>
      </c>
      <c r="H16" s="28">
        <v>871</v>
      </c>
      <c r="I16" s="28">
        <v>401</v>
      </c>
      <c r="J16" s="28"/>
      <c r="K16" s="28">
        <v>636</v>
      </c>
      <c r="O16" s="20" t="s">
        <v>234</v>
      </c>
      <c r="P16" s="20">
        <v>582</v>
      </c>
      <c r="Q16" s="8"/>
      <c r="R16" s="8"/>
    </row>
    <row r="17" spans="1:16" x14ac:dyDescent="0.25">
      <c r="A17" s="2">
        <v>16</v>
      </c>
      <c r="B17" s="2" t="s">
        <v>238</v>
      </c>
      <c r="C17" s="2">
        <v>2025120</v>
      </c>
      <c r="D17" s="2" t="s">
        <v>370</v>
      </c>
      <c r="E17" s="2">
        <v>118</v>
      </c>
      <c r="G17" s="2">
        <v>2025017</v>
      </c>
      <c r="H17" s="28">
        <v>994</v>
      </c>
      <c r="I17" s="28">
        <v>343</v>
      </c>
      <c r="J17" s="28"/>
      <c r="K17" s="28">
        <v>668.5</v>
      </c>
      <c r="O17" s="10" t="s">
        <v>235</v>
      </c>
      <c r="P17" s="10">
        <v>3628</v>
      </c>
    </row>
    <row r="18" spans="1:16" x14ac:dyDescent="0.25">
      <c r="A18" s="2">
        <v>17</v>
      </c>
      <c r="B18" s="2" t="s">
        <v>239</v>
      </c>
      <c r="C18" s="2">
        <v>2025121</v>
      </c>
      <c r="D18" s="2" t="s">
        <v>369</v>
      </c>
      <c r="E18" s="2">
        <v>0</v>
      </c>
      <c r="G18" s="2">
        <v>2025018</v>
      </c>
      <c r="H18" s="28">
        <v>2523</v>
      </c>
      <c r="I18" s="28">
        <v>1219</v>
      </c>
      <c r="J18" s="28"/>
      <c r="K18" s="28">
        <v>1871</v>
      </c>
      <c r="O18" s="10" t="s">
        <v>236</v>
      </c>
      <c r="P18" s="10">
        <v>977</v>
      </c>
    </row>
    <row r="19" spans="1:16" x14ac:dyDescent="0.25">
      <c r="A19" s="2">
        <v>18</v>
      </c>
      <c r="B19" s="2" t="s">
        <v>241</v>
      </c>
      <c r="C19" s="2">
        <v>2025121</v>
      </c>
      <c r="D19" s="2" t="s">
        <v>370</v>
      </c>
      <c r="E19" s="2">
        <v>0</v>
      </c>
      <c r="G19" s="2">
        <v>2025019</v>
      </c>
      <c r="H19" s="28">
        <v>2695</v>
      </c>
      <c r="I19" s="28">
        <v>1160</v>
      </c>
      <c r="J19" s="28"/>
      <c r="K19" s="28">
        <v>1927.5</v>
      </c>
      <c r="O19" s="10" t="s">
        <v>237</v>
      </c>
      <c r="P19" s="10">
        <v>12</v>
      </c>
    </row>
    <row r="20" spans="1:16" x14ac:dyDescent="0.25">
      <c r="A20" s="2">
        <v>19</v>
      </c>
      <c r="B20" s="2" t="s">
        <v>242</v>
      </c>
      <c r="C20" s="2">
        <v>2025122</v>
      </c>
      <c r="D20" s="2" t="s">
        <v>369</v>
      </c>
      <c r="E20" s="2">
        <v>2650</v>
      </c>
      <c r="G20" s="2">
        <v>2025021</v>
      </c>
      <c r="H20" s="28">
        <v>933</v>
      </c>
      <c r="I20" s="28">
        <v>750</v>
      </c>
      <c r="J20" s="28"/>
      <c r="K20" s="28">
        <v>841.5</v>
      </c>
      <c r="O20" s="10" t="s">
        <v>238</v>
      </c>
      <c r="P20" s="10">
        <v>118</v>
      </c>
    </row>
    <row r="21" spans="1:16" x14ac:dyDescent="0.25">
      <c r="A21" s="2">
        <v>20</v>
      </c>
      <c r="B21" s="2" t="s">
        <v>243</v>
      </c>
      <c r="C21" s="2">
        <v>2025122</v>
      </c>
      <c r="D21" s="2" t="s">
        <v>370</v>
      </c>
      <c r="E21" s="2">
        <v>1147</v>
      </c>
      <c r="G21" s="2">
        <v>2025022</v>
      </c>
      <c r="H21" s="28">
        <v>85</v>
      </c>
      <c r="I21" s="28">
        <v>719</v>
      </c>
      <c r="J21" s="28"/>
      <c r="K21" s="28">
        <v>402</v>
      </c>
      <c r="O21" s="10" t="s">
        <v>239</v>
      </c>
      <c r="P21" s="10" t="s">
        <v>240</v>
      </c>
    </row>
    <row r="22" spans="1:16" x14ac:dyDescent="0.25">
      <c r="A22" s="2">
        <v>21</v>
      </c>
      <c r="B22" s="2" t="s">
        <v>244</v>
      </c>
      <c r="C22" s="2">
        <v>2025123</v>
      </c>
      <c r="D22" s="2" t="s">
        <v>369</v>
      </c>
      <c r="E22" s="2">
        <v>0</v>
      </c>
      <c r="G22" s="2">
        <v>2025023</v>
      </c>
      <c r="H22" s="28">
        <v>2790</v>
      </c>
      <c r="I22" s="28">
        <v>888</v>
      </c>
      <c r="J22" s="28"/>
      <c r="K22" s="28">
        <v>1839</v>
      </c>
      <c r="O22" s="10" t="s">
        <v>241</v>
      </c>
      <c r="P22" s="10" t="s">
        <v>240</v>
      </c>
    </row>
    <row r="23" spans="1:16" x14ac:dyDescent="0.25">
      <c r="A23" s="2">
        <v>22</v>
      </c>
      <c r="B23" s="2" t="s">
        <v>245</v>
      </c>
      <c r="C23" s="2">
        <v>2025123</v>
      </c>
      <c r="D23" s="2" t="s">
        <v>370</v>
      </c>
      <c r="E23" s="2">
        <v>0</v>
      </c>
      <c r="G23" s="15">
        <v>2025024</v>
      </c>
      <c r="H23" s="29">
        <v>2113</v>
      </c>
      <c r="I23" s="29">
        <v>675</v>
      </c>
      <c r="J23" s="29"/>
      <c r="K23" s="29">
        <v>1394</v>
      </c>
      <c r="O23" s="10" t="s">
        <v>242</v>
      </c>
      <c r="P23" s="10">
        <v>2650</v>
      </c>
    </row>
    <row r="24" spans="1:16" x14ac:dyDescent="0.25">
      <c r="A24" s="2">
        <v>23</v>
      </c>
      <c r="B24" s="2" t="s">
        <v>246</v>
      </c>
      <c r="C24" s="2">
        <v>2025124</v>
      </c>
      <c r="D24" s="2" t="s">
        <v>369</v>
      </c>
      <c r="E24" s="2">
        <v>2564</v>
      </c>
      <c r="G24" s="2">
        <v>2025025</v>
      </c>
      <c r="H24" s="28">
        <v>2171</v>
      </c>
      <c r="I24" s="28">
        <v>933</v>
      </c>
      <c r="J24" s="28"/>
      <c r="K24" s="28">
        <v>1552</v>
      </c>
      <c r="O24" s="10" t="s">
        <v>243</v>
      </c>
      <c r="P24" s="10">
        <v>1147</v>
      </c>
    </row>
    <row r="25" spans="1:16" x14ac:dyDescent="0.25">
      <c r="A25" s="2">
        <v>24</v>
      </c>
      <c r="B25" s="2" t="s">
        <v>247</v>
      </c>
      <c r="C25" s="2">
        <v>2025124</v>
      </c>
      <c r="D25" s="2" t="s">
        <v>370</v>
      </c>
      <c r="E25" s="2">
        <v>2102</v>
      </c>
      <c r="G25" s="2">
        <v>2025026</v>
      </c>
      <c r="H25" s="28">
        <v>0</v>
      </c>
      <c r="I25" s="28">
        <v>0</v>
      </c>
      <c r="J25" s="28"/>
      <c r="K25" s="28">
        <v>0</v>
      </c>
      <c r="O25" s="10" t="s">
        <v>244</v>
      </c>
      <c r="P25" s="10" t="s">
        <v>240</v>
      </c>
    </row>
    <row r="26" spans="1:16" x14ac:dyDescent="0.25">
      <c r="A26" s="2">
        <v>25</v>
      </c>
      <c r="B26" s="2" t="s">
        <v>248</v>
      </c>
      <c r="C26" s="2">
        <v>2025125</v>
      </c>
      <c r="D26" s="2" t="s">
        <v>369</v>
      </c>
      <c r="E26" s="2">
        <v>1891</v>
      </c>
      <c r="G26" s="2">
        <v>2025027</v>
      </c>
      <c r="H26" s="28">
        <v>39</v>
      </c>
      <c r="I26" s="28">
        <v>161</v>
      </c>
      <c r="J26" s="28"/>
      <c r="K26" s="28">
        <v>100</v>
      </c>
      <c r="O26" s="10" t="s">
        <v>245</v>
      </c>
      <c r="P26" s="10" t="s">
        <v>240</v>
      </c>
    </row>
    <row r="27" spans="1:16" x14ac:dyDescent="0.25">
      <c r="A27" s="2">
        <v>26</v>
      </c>
      <c r="B27" s="2" t="s">
        <v>249</v>
      </c>
      <c r="C27" s="2">
        <v>2025125</v>
      </c>
      <c r="D27" s="2" t="s">
        <v>370</v>
      </c>
      <c r="E27" s="2">
        <v>891</v>
      </c>
      <c r="G27" s="2">
        <v>2025028</v>
      </c>
      <c r="H27" s="28">
        <v>2715</v>
      </c>
      <c r="I27" s="28">
        <v>1696</v>
      </c>
      <c r="J27" s="28"/>
      <c r="K27" s="28">
        <v>2205.5</v>
      </c>
      <c r="O27" s="10" t="s">
        <v>246</v>
      </c>
      <c r="P27" s="10">
        <v>2564</v>
      </c>
    </row>
    <row r="28" spans="1:16" x14ac:dyDescent="0.25">
      <c r="A28" s="2">
        <v>27</v>
      </c>
      <c r="B28" s="2" t="s">
        <v>250</v>
      </c>
      <c r="C28" s="2">
        <v>2025126</v>
      </c>
      <c r="D28" s="2" t="s">
        <v>369</v>
      </c>
      <c r="E28" s="2">
        <v>2057</v>
      </c>
      <c r="G28" s="2">
        <v>2025029</v>
      </c>
      <c r="H28" s="28">
        <v>1294</v>
      </c>
      <c r="I28" s="28">
        <v>454</v>
      </c>
      <c r="J28" s="28"/>
      <c r="K28" s="28">
        <v>874</v>
      </c>
      <c r="O28" s="10" t="s">
        <v>247</v>
      </c>
      <c r="P28" s="10">
        <v>2102</v>
      </c>
    </row>
    <row r="29" spans="1:16" x14ac:dyDescent="0.25">
      <c r="A29" s="2">
        <v>28</v>
      </c>
      <c r="B29" s="2" t="s">
        <v>251</v>
      </c>
      <c r="C29" s="2">
        <v>2025126</v>
      </c>
      <c r="D29" s="2" t="s">
        <v>370</v>
      </c>
      <c r="E29" s="2">
        <v>1686</v>
      </c>
      <c r="G29" s="2">
        <v>2025030</v>
      </c>
      <c r="H29" s="28">
        <v>228</v>
      </c>
      <c r="I29" s="28">
        <v>191</v>
      </c>
      <c r="J29" s="28"/>
      <c r="K29" s="28">
        <v>209.5</v>
      </c>
      <c r="O29" s="10" t="s">
        <v>248</v>
      </c>
      <c r="P29" s="10">
        <v>1891</v>
      </c>
    </row>
    <row r="30" spans="1:16" x14ac:dyDescent="0.25">
      <c r="A30" s="2">
        <v>29</v>
      </c>
      <c r="B30" s="2" t="s">
        <v>252</v>
      </c>
      <c r="C30" s="2">
        <v>2025127</v>
      </c>
      <c r="D30" s="2" t="s">
        <v>369</v>
      </c>
      <c r="E30" s="2">
        <v>926</v>
      </c>
      <c r="G30" s="2">
        <v>2025031</v>
      </c>
      <c r="H30" s="28">
        <v>0</v>
      </c>
      <c r="I30" s="28">
        <v>0</v>
      </c>
      <c r="J30" s="28"/>
      <c r="K30" s="28">
        <v>0</v>
      </c>
      <c r="O30" s="10" t="s">
        <v>249</v>
      </c>
      <c r="P30" s="10">
        <v>891</v>
      </c>
    </row>
    <row r="31" spans="1:16" x14ac:dyDescent="0.25">
      <c r="A31" s="2">
        <v>30</v>
      </c>
      <c r="B31" s="2" t="s">
        <v>253</v>
      </c>
      <c r="C31" s="2">
        <v>2025127</v>
      </c>
      <c r="D31" s="2" t="s">
        <v>370</v>
      </c>
      <c r="E31" s="2">
        <v>1187</v>
      </c>
      <c r="G31" s="2">
        <v>2025034</v>
      </c>
      <c r="H31" s="28">
        <v>0</v>
      </c>
      <c r="I31" s="28">
        <v>0</v>
      </c>
      <c r="J31" s="28"/>
      <c r="K31" s="28">
        <v>0</v>
      </c>
      <c r="O31" s="10" t="s">
        <v>250</v>
      </c>
      <c r="P31" s="10">
        <v>2057</v>
      </c>
    </row>
    <row r="32" spans="1:16" x14ac:dyDescent="0.25">
      <c r="A32" s="2">
        <v>31</v>
      </c>
      <c r="B32" s="2" t="s">
        <v>254</v>
      </c>
      <c r="C32" s="2">
        <v>2025128</v>
      </c>
      <c r="D32" s="2" t="s">
        <v>369</v>
      </c>
      <c r="E32" s="2">
        <v>2434</v>
      </c>
      <c r="G32" s="2">
        <v>2025035</v>
      </c>
      <c r="H32" s="28">
        <v>206.02</v>
      </c>
      <c r="I32" s="28">
        <v>212.4</v>
      </c>
      <c r="J32" s="28"/>
      <c r="K32" s="28">
        <v>209.21</v>
      </c>
      <c r="O32" s="10" t="s">
        <v>251</v>
      </c>
      <c r="P32" s="10">
        <v>1686</v>
      </c>
    </row>
    <row r="33" spans="1:16" x14ac:dyDescent="0.25">
      <c r="A33" s="2">
        <v>32</v>
      </c>
      <c r="B33" s="2" t="s">
        <v>255</v>
      </c>
      <c r="C33" s="2">
        <v>2025128</v>
      </c>
      <c r="D33" s="2" t="s">
        <v>370</v>
      </c>
      <c r="E33" s="2">
        <v>1076</v>
      </c>
      <c r="G33" s="2">
        <v>2025036</v>
      </c>
      <c r="H33" s="28">
        <v>645</v>
      </c>
      <c r="I33" s="28">
        <v>607</v>
      </c>
      <c r="J33" s="28"/>
      <c r="K33" s="28">
        <v>626</v>
      </c>
      <c r="O33" s="10" t="s">
        <v>252</v>
      </c>
      <c r="P33" s="10">
        <v>926</v>
      </c>
    </row>
    <row r="34" spans="1:16" x14ac:dyDescent="0.25">
      <c r="A34" s="2">
        <v>33</v>
      </c>
      <c r="B34" s="2" t="s">
        <v>256</v>
      </c>
      <c r="C34" s="2">
        <v>2025012</v>
      </c>
      <c r="D34" s="2" t="s">
        <v>369</v>
      </c>
      <c r="E34" s="2">
        <v>0</v>
      </c>
      <c r="G34" s="2">
        <v>2025037</v>
      </c>
      <c r="H34" s="28">
        <v>1871</v>
      </c>
      <c r="I34" s="28">
        <v>1585</v>
      </c>
      <c r="J34" s="28"/>
      <c r="K34" s="28">
        <v>1728</v>
      </c>
      <c r="O34" s="10" t="s">
        <v>253</v>
      </c>
      <c r="P34" s="10">
        <v>1187</v>
      </c>
    </row>
    <row r="35" spans="1:16" x14ac:dyDescent="0.25">
      <c r="A35" s="2">
        <v>34</v>
      </c>
      <c r="B35" s="2" t="s">
        <v>257</v>
      </c>
      <c r="C35" s="2">
        <v>2025012</v>
      </c>
      <c r="D35" s="2" t="s">
        <v>370</v>
      </c>
      <c r="E35" s="2">
        <v>0</v>
      </c>
      <c r="G35" s="2">
        <v>2025038</v>
      </c>
      <c r="H35" s="28">
        <v>1642</v>
      </c>
      <c r="I35" s="28">
        <v>1381</v>
      </c>
      <c r="J35" s="28"/>
      <c r="K35" s="28">
        <v>1511.5</v>
      </c>
      <c r="O35" s="10" t="s">
        <v>254</v>
      </c>
      <c r="P35" s="10">
        <v>2434</v>
      </c>
    </row>
    <row r="36" spans="1:16" x14ac:dyDescent="0.25">
      <c r="A36" s="2">
        <v>35</v>
      </c>
      <c r="B36" s="2" t="s">
        <v>258</v>
      </c>
      <c r="C36" s="2">
        <v>2025130</v>
      </c>
      <c r="D36" s="2" t="s">
        <v>369</v>
      </c>
      <c r="E36" s="2">
        <v>0</v>
      </c>
      <c r="G36" s="2">
        <v>2025040</v>
      </c>
      <c r="H36" s="28">
        <v>0</v>
      </c>
      <c r="I36" s="28">
        <v>0</v>
      </c>
      <c r="J36" s="28"/>
      <c r="K36" s="28">
        <v>0</v>
      </c>
      <c r="O36" s="10" t="s">
        <v>255</v>
      </c>
      <c r="P36" s="10">
        <v>1076</v>
      </c>
    </row>
    <row r="37" spans="1:16" x14ac:dyDescent="0.25">
      <c r="A37" s="2">
        <v>36</v>
      </c>
      <c r="B37" s="2" t="s">
        <v>259</v>
      </c>
      <c r="C37" s="2">
        <v>2025130</v>
      </c>
      <c r="D37" s="2" t="s">
        <v>370</v>
      </c>
      <c r="E37" s="2">
        <v>125</v>
      </c>
      <c r="G37" s="2">
        <v>2025081</v>
      </c>
      <c r="H37" s="28">
        <v>2745</v>
      </c>
      <c r="I37" s="28">
        <v>1244</v>
      </c>
      <c r="J37" s="28"/>
      <c r="K37" s="28">
        <v>1994.5</v>
      </c>
      <c r="O37" s="20" t="s">
        <v>256</v>
      </c>
      <c r="P37" s="20" t="s">
        <v>240</v>
      </c>
    </row>
    <row r="38" spans="1:16" x14ac:dyDescent="0.25">
      <c r="A38" s="2">
        <v>37</v>
      </c>
      <c r="B38" s="2" t="s">
        <v>260</v>
      </c>
      <c r="C38" s="2">
        <v>2025132</v>
      </c>
      <c r="D38" s="2" t="s">
        <v>369</v>
      </c>
      <c r="E38" s="2">
        <v>821</v>
      </c>
      <c r="G38" s="2">
        <v>2025082</v>
      </c>
      <c r="H38" s="28">
        <v>400</v>
      </c>
      <c r="I38" s="28">
        <v>338</v>
      </c>
      <c r="J38" s="28"/>
      <c r="K38" s="28">
        <v>369</v>
      </c>
      <c r="O38" s="20" t="s">
        <v>257</v>
      </c>
      <c r="P38" s="20" t="s">
        <v>240</v>
      </c>
    </row>
    <row r="39" spans="1:16" x14ac:dyDescent="0.25">
      <c r="A39" s="2">
        <v>38</v>
      </c>
      <c r="B39" s="2" t="s">
        <v>261</v>
      </c>
      <c r="C39" s="2">
        <v>2025132</v>
      </c>
      <c r="D39" s="2" t="s">
        <v>370</v>
      </c>
      <c r="E39" s="2">
        <v>561</v>
      </c>
      <c r="G39" s="2">
        <v>2025084</v>
      </c>
      <c r="H39" s="28">
        <v>1514</v>
      </c>
      <c r="I39" s="28">
        <v>556</v>
      </c>
      <c r="J39" s="28"/>
      <c r="K39" s="28">
        <v>1035</v>
      </c>
      <c r="O39" s="10" t="s">
        <v>258</v>
      </c>
      <c r="P39" s="10" t="s">
        <v>240</v>
      </c>
    </row>
    <row r="40" spans="1:16" x14ac:dyDescent="0.25">
      <c r="A40" s="2">
        <v>39</v>
      </c>
      <c r="B40" s="2" t="s">
        <v>262</v>
      </c>
      <c r="C40" s="2">
        <v>2025133</v>
      </c>
      <c r="D40" s="2" t="s">
        <v>369</v>
      </c>
      <c r="E40" s="2">
        <v>951</v>
      </c>
      <c r="G40" s="2">
        <v>2025085</v>
      </c>
      <c r="H40" s="28">
        <v>2566</v>
      </c>
      <c r="I40" s="28">
        <v>1512</v>
      </c>
      <c r="J40" s="28"/>
      <c r="K40" s="28">
        <v>2039</v>
      </c>
      <c r="O40" s="10" t="s">
        <v>259</v>
      </c>
      <c r="P40" s="10">
        <v>125</v>
      </c>
    </row>
    <row r="41" spans="1:16" x14ac:dyDescent="0.25">
      <c r="A41" s="2">
        <v>40</v>
      </c>
      <c r="B41" s="2" t="s">
        <v>263</v>
      </c>
      <c r="C41" s="2">
        <v>2025133</v>
      </c>
      <c r="D41" s="2" t="s">
        <v>370</v>
      </c>
      <c r="E41" s="2">
        <f>578-4.5</f>
        <v>573.5</v>
      </c>
      <c r="G41" s="2">
        <v>2025086</v>
      </c>
      <c r="H41" s="28">
        <v>3538</v>
      </c>
      <c r="I41" s="28">
        <v>2263</v>
      </c>
      <c r="J41" s="28"/>
      <c r="K41" s="28">
        <v>2900.5</v>
      </c>
      <c r="O41" s="10" t="s">
        <v>260</v>
      </c>
      <c r="P41" s="10">
        <v>821</v>
      </c>
    </row>
    <row r="42" spans="1:16" x14ac:dyDescent="0.25">
      <c r="A42" s="2">
        <v>41</v>
      </c>
      <c r="B42" s="2" t="s">
        <v>264</v>
      </c>
      <c r="C42" s="2">
        <v>2025134</v>
      </c>
      <c r="D42" s="2" t="s">
        <v>369</v>
      </c>
      <c r="E42" s="2">
        <v>12</v>
      </c>
      <c r="G42" s="2">
        <v>2025087</v>
      </c>
      <c r="H42" s="28">
        <v>1780</v>
      </c>
      <c r="I42" s="28">
        <v>1728</v>
      </c>
      <c r="J42" s="28"/>
      <c r="K42" s="28">
        <v>1754</v>
      </c>
      <c r="O42" s="10" t="s">
        <v>261</v>
      </c>
      <c r="P42" s="10">
        <v>561</v>
      </c>
    </row>
    <row r="43" spans="1:16" x14ac:dyDescent="0.25">
      <c r="A43" s="2">
        <v>42</v>
      </c>
      <c r="B43" s="2" t="s">
        <v>265</v>
      </c>
      <c r="C43" s="2">
        <v>2025134</v>
      </c>
      <c r="D43" s="2" t="s">
        <v>370</v>
      </c>
      <c r="E43" s="2">
        <v>0</v>
      </c>
      <c r="G43" s="2">
        <v>2025088</v>
      </c>
      <c r="H43" s="28">
        <v>3113</v>
      </c>
      <c r="I43" s="28">
        <v>899</v>
      </c>
      <c r="J43" s="28"/>
      <c r="K43" s="28">
        <v>2006</v>
      </c>
      <c r="O43" s="10" t="s">
        <v>262</v>
      </c>
      <c r="P43" s="10">
        <v>951</v>
      </c>
    </row>
    <row r="44" spans="1:16" x14ac:dyDescent="0.25">
      <c r="A44" s="2">
        <v>43</v>
      </c>
      <c r="B44" s="2" t="s">
        <v>266</v>
      </c>
      <c r="C44" s="2">
        <v>2025137</v>
      </c>
      <c r="D44" s="2" t="s">
        <v>369</v>
      </c>
      <c r="E44" s="2">
        <v>1476</v>
      </c>
      <c r="G44" s="2">
        <v>2025089</v>
      </c>
      <c r="H44" s="28">
        <v>857</v>
      </c>
      <c r="I44" s="28">
        <v>705</v>
      </c>
      <c r="J44" s="28"/>
      <c r="K44" s="28">
        <v>781</v>
      </c>
      <c r="O44" s="10" t="s">
        <v>263</v>
      </c>
      <c r="P44" s="10">
        <f>578-4.5</f>
        <v>573.5</v>
      </c>
    </row>
    <row r="45" spans="1:16" x14ac:dyDescent="0.25">
      <c r="A45" s="2">
        <v>44</v>
      </c>
      <c r="B45" s="2" t="s">
        <v>267</v>
      </c>
      <c r="C45" s="2">
        <v>2025137</v>
      </c>
      <c r="D45" s="2" t="s">
        <v>370</v>
      </c>
      <c r="E45" s="2">
        <v>1194</v>
      </c>
      <c r="G45" s="2">
        <v>2025091</v>
      </c>
      <c r="H45" s="28">
        <v>1230</v>
      </c>
      <c r="I45" s="28">
        <v>990</v>
      </c>
      <c r="J45" s="28"/>
      <c r="K45" s="28">
        <v>1110</v>
      </c>
      <c r="O45" s="10" t="s">
        <v>264</v>
      </c>
      <c r="P45" s="10">
        <v>12</v>
      </c>
    </row>
    <row r="46" spans="1:16" x14ac:dyDescent="0.25">
      <c r="A46" s="2">
        <v>45</v>
      </c>
      <c r="B46" s="2" t="s">
        <v>268</v>
      </c>
      <c r="C46" s="2">
        <v>2025138</v>
      </c>
      <c r="D46" s="2" t="s">
        <v>369</v>
      </c>
      <c r="E46" s="2">
        <v>1220</v>
      </c>
      <c r="G46" s="2">
        <v>2025092</v>
      </c>
      <c r="H46" s="28">
        <v>992</v>
      </c>
      <c r="I46" s="28">
        <v>377</v>
      </c>
      <c r="J46" s="28"/>
      <c r="K46" s="28">
        <v>684.5</v>
      </c>
      <c r="O46" s="10" t="s">
        <v>265</v>
      </c>
      <c r="P46" s="10" t="s">
        <v>240</v>
      </c>
    </row>
    <row r="47" spans="1:16" x14ac:dyDescent="0.25">
      <c r="A47" s="2">
        <v>46</v>
      </c>
      <c r="B47" s="2" t="s">
        <v>269</v>
      </c>
      <c r="C47" s="2">
        <v>2025138</v>
      </c>
      <c r="D47" s="2" t="s">
        <v>370</v>
      </c>
      <c r="E47" s="2">
        <v>2529</v>
      </c>
      <c r="G47" s="2">
        <v>2025093</v>
      </c>
      <c r="H47" s="28">
        <v>1076</v>
      </c>
      <c r="I47" s="28">
        <v>803</v>
      </c>
      <c r="J47" s="28"/>
      <c r="K47" s="28">
        <v>939.5</v>
      </c>
      <c r="O47" s="10" t="s">
        <v>266</v>
      </c>
      <c r="P47" s="10">
        <v>1476</v>
      </c>
    </row>
    <row r="48" spans="1:16" x14ac:dyDescent="0.25">
      <c r="A48" s="2">
        <v>47</v>
      </c>
      <c r="B48" s="2" t="s">
        <v>270</v>
      </c>
      <c r="C48" s="2">
        <v>2025013</v>
      </c>
      <c r="D48" s="2" t="s">
        <v>369</v>
      </c>
      <c r="E48" s="2">
        <v>1701</v>
      </c>
      <c r="G48" s="2">
        <v>2025113</v>
      </c>
      <c r="H48" s="28">
        <v>1876</v>
      </c>
      <c r="I48" s="28">
        <v>608</v>
      </c>
      <c r="J48" s="28"/>
      <c r="K48" s="28">
        <v>1242</v>
      </c>
      <c r="O48" s="10" t="s">
        <v>267</v>
      </c>
      <c r="P48" s="10">
        <v>1194</v>
      </c>
    </row>
    <row r="49" spans="1:16" x14ac:dyDescent="0.25">
      <c r="A49" s="2">
        <v>48</v>
      </c>
      <c r="B49" s="2" t="s">
        <v>271</v>
      </c>
      <c r="C49" s="2">
        <v>2025013</v>
      </c>
      <c r="D49" s="2" t="s">
        <v>370</v>
      </c>
      <c r="E49" s="2">
        <v>1821</v>
      </c>
      <c r="G49" s="2">
        <v>2025115</v>
      </c>
      <c r="H49" s="28">
        <v>3975.8</v>
      </c>
      <c r="I49" s="28">
        <v>2080</v>
      </c>
      <c r="J49" s="28"/>
      <c r="K49" s="28">
        <v>3027.9</v>
      </c>
      <c r="O49" s="10" t="s">
        <v>268</v>
      </c>
      <c r="P49" s="10">
        <v>1220</v>
      </c>
    </row>
    <row r="50" spans="1:16" x14ac:dyDescent="0.25">
      <c r="A50" s="2">
        <v>49</v>
      </c>
      <c r="B50" s="2" t="s">
        <v>272</v>
      </c>
      <c r="C50" s="2">
        <v>2025140</v>
      </c>
      <c r="D50" s="2" t="s">
        <v>369</v>
      </c>
      <c r="E50" s="2">
        <v>1415</v>
      </c>
      <c r="G50" s="2">
        <v>2025116</v>
      </c>
      <c r="H50" s="28">
        <v>3531</v>
      </c>
      <c r="I50" s="28">
        <v>2364</v>
      </c>
      <c r="J50" s="28"/>
      <c r="K50" s="28">
        <v>2947.5</v>
      </c>
      <c r="O50" s="10" t="s">
        <v>269</v>
      </c>
      <c r="P50" s="10">
        <v>2529</v>
      </c>
    </row>
    <row r="51" spans="1:16" x14ac:dyDescent="0.25">
      <c r="A51" s="2">
        <v>50</v>
      </c>
      <c r="B51" s="2" t="s">
        <v>273</v>
      </c>
      <c r="C51" s="2">
        <v>2025140</v>
      </c>
      <c r="D51" s="2" t="s">
        <v>370</v>
      </c>
      <c r="E51" s="2">
        <v>833</v>
      </c>
      <c r="G51" s="2">
        <v>2025117</v>
      </c>
      <c r="H51" s="28">
        <v>750</v>
      </c>
      <c r="I51" s="28">
        <v>345</v>
      </c>
      <c r="J51" s="28"/>
      <c r="K51" s="28">
        <v>547.5</v>
      </c>
      <c r="O51" s="26" t="s">
        <v>270</v>
      </c>
      <c r="P51" s="26">
        <v>1701</v>
      </c>
    </row>
    <row r="52" spans="1:16" x14ac:dyDescent="0.25">
      <c r="A52" s="2">
        <v>51</v>
      </c>
      <c r="B52" s="2" t="s">
        <v>274</v>
      </c>
      <c r="C52" s="2">
        <v>2025141</v>
      </c>
      <c r="D52" s="2" t="s">
        <v>369</v>
      </c>
      <c r="E52" s="2">
        <v>1552</v>
      </c>
      <c r="G52" s="2">
        <v>2025119</v>
      </c>
      <c r="H52" s="28">
        <v>754</v>
      </c>
      <c r="I52" s="28">
        <v>582</v>
      </c>
      <c r="J52" s="28"/>
      <c r="K52" s="28">
        <v>668</v>
      </c>
      <c r="O52" s="26" t="s">
        <v>271</v>
      </c>
      <c r="P52" s="26">
        <v>1821</v>
      </c>
    </row>
    <row r="53" spans="1:16" x14ac:dyDescent="0.25">
      <c r="A53" s="2">
        <v>52</v>
      </c>
      <c r="B53" s="2" t="s">
        <v>275</v>
      </c>
      <c r="C53" s="2">
        <v>2025141</v>
      </c>
      <c r="D53" s="2" t="s">
        <v>370</v>
      </c>
      <c r="E53" s="2">
        <v>561</v>
      </c>
      <c r="G53" s="2">
        <v>2025120</v>
      </c>
      <c r="H53" s="28">
        <v>12</v>
      </c>
      <c r="I53" s="28">
        <v>118</v>
      </c>
      <c r="J53" s="28"/>
      <c r="K53" s="28">
        <v>65</v>
      </c>
      <c r="O53" s="10" t="s">
        <v>272</v>
      </c>
      <c r="P53" s="10">
        <v>1415</v>
      </c>
    </row>
    <row r="54" spans="1:16" x14ac:dyDescent="0.25">
      <c r="A54" s="2">
        <v>53</v>
      </c>
      <c r="B54" s="2" t="s">
        <v>276</v>
      </c>
      <c r="C54" s="2">
        <v>2025142</v>
      </c>
      <c r="D54" s="2" t="s">
        <v>369</v>
      </c>
      <c r="E54" s="2">
        <v>2799</v>
      </c>
      <c r="G54" s="2">
        <v>2025121</v>
      </c>
      <c r="H54" s="28">
        <v>0</v>
      </c>
      <c r="I54" s="28">
        <v>0</v>
      </c>
      <c r="J54" s="28"/>
      <c r="K54" s="28">
        <v>0</v>
      </c>
      <c r="O54" s="10" t="s">
        <v>273</v>
      </c>
      <c r="P54" s="10">
        <v>833</v>
      </c>
    </row>
    <row r="55" spans="1:16" x14ac:dyDescent="0.25">
      <c r="A55" s="2">
        <v>54</v>
      </c>
      <c r="B55" s="2" t="s">
        <v>277</v>
      </c>
      <c r="C55" s="2">
        <v>2025142</v>
      </c>
      <c r="D55" s="2" t="s">
        <v>370</v>
      </c>
      <c r="E55" s="2">
        <v>1299</v>
      </c>
      <c r="G55" s="2">
        <v>2025122</v>
      </c>
      <c r="H55" s="28">
        <v>2650</v>
      </c>
      <c r="I55" s="28">
        <v>1147</v>
      </c>
      <c r="J55" s="28"/>
      <c r="K55" s="28">
        <v>1898.5</v>
      </c>
      <c r="O55" s="10" t="s">
        <v>274</v>
      </c>
      <c r="P55" s="10">
        <v>1552</v>
      </c>
    </row>
    <row r="56" spans="1:16" x14ac:dyDescent="0.25">
      <c r="A56" s="2">
        <v>55</v>
      </c>
      <c r="B56" s="2" t="s">
        <v>278</v>
      </c>
      <c r="C56" s="2">
        <v>2025148</v>
      </c>
      <c r="D56" s="2" t="s">
        <v>369</v>
      </c>
      <c r="E56" s="2">
        <v>392</v>
      </c>
      <c r="G56" s="2">
        <v>2025123</v>
      </c>
      <c r="H56" s="28">
        <v>0</v>
      </c>
      <c r="I56" s="28">
        <v>0</v>
      </c>
      <c r="J56" s="28"/>
      <c r="K56" s="28">
        <v>0</v>
      </c>
      <c r="O56" s="10" t="s">
        <v>275</v>
      </c>
      <c r="P56" s="10">
        <v>561</v>
      </c>
    </row>
    <row r="57" spans="1:16" x14ac:dyDescent="0.25">
      <c r="A57" s="2">
        <v>56</v>
      </c>
      <c r="B57" s="2" t="s">
        <v>279</v>
      </c>
      <c r="C57" s="2">
        <v>2025148</v>
      </c>
      <c r="D57" s="2" t="s">
        <v>370</v>
      </c>
      <c r="E57" s="2">
        <v>156</v>
      </c>
      <c r="G57" s="2">
        <v>2025124</v>
      </c>
      <c r="H57" s="28">
        <v>2564</v>
      </c>
      <c r="I57" s="28">
        <v>2102</v>
      </c>
      <c r="J57" s="28"/>
      <c r="K57" s="28">
        <v>2333</v>
      </c>
      <c r="O57" s="10" t="s">
        <v>276</v>
      </c>
      <c r="P57" s="10">
        <v>2799</v>
      </c>
    </row>
    <row r="58" spans="1:16" x14ac:dyDescent="0.25">
      <c r="A58" s="2">
        <v>57</v>
      </c>
      <c r="B58" s="2" t="s">
        <v>280</v>
      </c>
      <c r="C58" s="2">
        <v>2025149</v>
      </c>
      <c r="D58" s="2" t="s">
        <v>369</v>
      </c>
      <c r="E58" s="2">
        <v>465</v>
      </c>
      <c r="G58" s="2">
        <v>2025125</v>
      </c>
      <c r="H58" s="28">
        <v>1891</v>
      </c>
      <c r="I58" s="28">
        <v>891</v>
      </c>
      <c r="J58" s="28"/>
      <c r="K58" s="28">
        <v>1391</v>
      </c>
      <c r="O58" s="10" t="s">
        <v>277</v>
      </c>
      <c r="P58" s="10">
        <v>1299</v>
      </c>
    </row>
    <row r="59" spans="1:16" x14ac:dyDescent="0.25">
      <c r="A59" s="2">
        <v>58</v>
      </c>
      <c r="B59" s="2" t="s">
        <v>281</v>
      </c>
      <c r="C59" s="2">
        <v>2025149</v>
      </c>
      <c r="D59" s="2" t="s">
        <v>370</v>
      </c>
      <c r="E59" s="2">
        <v>1025</v>
      </c>
      <c r="G59" s="2">
        <v>2025126</v>
      </c>
      <c r="H59" s="28">
        <v>2057</v>
      </c>
      <c r="I59" s="28">
        <v>1686</v>
      </c>
      <c r="J59" s="28"/>
      <c r="K59" s="28">
        <v>1871.5</v>
      </c>
      <c r="O59" s="10" t="s">
        <v>278</v>
      </c>
      <c r="P59" s="10">
        <v>392</v>
      </c>
    </row>
    <row r="60" spans="1:16" x14ac:dyDescent="0.25">
      <c r="A60" s="2">
        <v>59</v>
      </c>
      <c r="B60" s="2" t="s">
        <v>282</v>
      </c>
      <c r="C60" s="2">
        <v>2025014</v>
      </c>
      <c r="D60" s="2" t="s">
        <v>369</v>
      </c>
      <c r="E60" s="2">
        <v>0</v>
      </c>
      <c r="G60" s="2">
        <v>2025127</v>
      </c>
      <c r="H60" s="28">
        <v>926</v>
      </c>
      <c r="I60" s="28">
        <v>1187</v>
      </c>
      <c r="J60" s="28"/>
      <c r="K60" s="28">
        <v>1056.5</v>
      </c>
      <c r="O60" s="10" t="s">
        <v>279</v>
      </c>
      <c r="P60" s="10">
        <v>156</v>
      </c>
    </row>
    <row r="61" spans="1:16" x14ac:dyDescent="0.25">
      <c r="A61" s="2">
        <v>60</v>
      </c>
      <c r="B61" s="2" t="s">
        <v>283</v>
      </c>
      <c r="C61" s="2">
        <v>2025014</v>
      </c>
      <c r="D61" s="2" t="s">
        <v>370</v>
      </c>
      <c r="E61" s="2">
        <v>0</v>
      </c>
      <c r="G61" s="2">
        <v>2025128</v>
      </c>
      <c r="H61" s="28">
        <v>2434</v>
      </c>
      <c r="I61" s="28">
        <v>1076</v>
      </c>
      <c r="J61" s="28"/>
      <c r="K61" s="28">
        <v>1755</v>
      </c>
      <c r="O61" s="10" t="s">
        <v>280</v>
      </c>
      <c r="P61" s="10">
        <v>465</v>
      </c>
    </row>
    <row r="62" spans="1:16" x14ac:dyDescent="0.25">
      <c r="A62" s="2">
        <v>61</v>
      </c>
      <c r="B62" s="2" t="s">
        <v>284</v>
      </c>
      <c r="C62" s="2">
        <v>2025150</v>
      </c>
      <c r="D62" s="2" t="s">
        <v>369</v>
      </c>
      <c r="E62" s="2">
        <v>931</v>
      </c>
      <c r="G62" s="2">
        <v>2025130</v>
      </c>
      <c r="H62" s="28">
        <v>0</v>
      </c>
      <c r="I62" s="28">
        <v>125</v>
      </c>
      <c r="J62" s="28"/>
      <c r="K62" s="28">
        <v>62.5</v>
      </c>
      <c r="O62" s="10" t="s">
        <v>281</v>
      </c>
      <c r="P62" s="10">
        <v>1025</v>
      </c>
    </row>
    <row r="63" spans="1:16" x14ac:dyDescent="0.25">
      <c r="A63" s="2">
        <v>62</v>
      </c>
      <c r="B63" s="2" t="s">
        <v>285</v>
      </c>
      <c r="C63" s="2">
        <v>2025150</v>
      </c>
      <c r="D63" s="2" t="s">
        <v>370</v>
      </c>
      <c r="E63" s="2">
        <v>712</v>
      </c>
      <c r="G63" s="2">
        <v>2025132</v>
      </c>
      <c r="H63" s="28">
        <v>821</v>
      </c>
      <c r="I63" s="28">
        <v>561</v>
      </c>
      <c r="J63" s="28"/>
      <c r="K63" s="28">
        <v>691</v>
      </c>
      <c r="O63" s="20" t="s">
        <v>282</v>
      </c>
      <c r="P63" s="20" t="s">
        <v>240</v>
      </c>
    </row>
    <row r="64" spans="1:16" x14ac:dyDescent="0.25">
      <c r="A64" s="2">
        <v>63</v>
      </c>
      <c r="B64" s="2" t="s">
        <v>286</v>
      </c>
      <c r="C64" s="2">
        <v>2025151</v>
      </c>
      <c r="D64" s="2" t="s">
        <v>369</v>
      </c>
      <c r="E64" s="2">
        <v>510</v>
      </c>
      <c r="G64" s="2">
        <v>2025133</v>
      </c>
      <c r="H64" s="28">
        <v>951</v>
      </c>
      <c r="I64" s="28">
        <v>573.5</v>
      </c>
      <c r="J64" s="28"/>
      <c r="K64" s="28">
        <v>762.25</v>
      </c>
      <c r="O64" s="20" t="s">
        <v>283</v>
      </c>
      <c r="P64" s="20" t="s">
        <v>240</v>
      </c>
    </row>
    <row r="65" spans="1:16" x14ac:dyDescent="0.25">
      <c r="A65" s="2">
        <v>64</v>
      </c>
      <c r="B65" s="2" t="s">
        <v>287</v>
      </c>
      <c r="C65" s="2">
        <v>2025151</v>
      </c>
      <c r="D65" s="2" t="s">
        <v>370</v>
      </c>
      <c r="E65" s="2">
        <v>557</v>
      </c>
      <c r="G65" s="2">
        <v>2025134</v>
      </c>
      <c r="H65" s="28">
        <v>12</v>
      </c>
      <c r="I65" s="28">
        <v>0</v>
      </c>
      <c r="J65" s="28"/>
      <c r="K65" s="28">
        <v>6</v>
      </c>
      <c r="O65" s="10" t="s">
        <v>284</v>
      </c>
      <c r="P65" s="10">
        <v>931</v>
      </c>
    </row>
    <row r="66" spans="1:16" x14ac:dyDescent="0.25">
      <c r="A66" s="2">
        <v>65</v>
      </c>
      <c r="B66" s="2" t="s">
        <v>288</v>
      </c>
      <c r="C66" s="2">
        <v>2025015</v>
      </c>
      <c r="D66" s="2" t="s">
        <v>369</v>
      </c>
      <c r="E66" s="2">
        <v>31</v>
      </c>
      <c r="G66" s="2">
        <v>2025137</v>
      </c>
      <c r="H66" s="28">
        <v>1476</v>
      </c>
      <c r="I66" s="28">
        <v>1194</v>
      </c>
      <c r="J66" s="28"/>
      <c r="K66" s="28">
        <v>1335</v>
      </c>
      <c r="O66" s="10" t="s">
        <v>285</v>
      </c>
      <c r="P66" s="10">
        <v>712</v>
      </c>
    </row>
    <row r="67" spans="1:16" x14ac:dyDescent="0.25">
      <c r="A67" s="2">
        <v>66</v>
      </c>
      <c r="B67" s="2" t="s">
        <v>289</v>
      </c>
      <c r="C67" s="2">
        <v>2025015</v>
      </c>
      <c r="D67" s="2" t="s">
        <v>370</v>
      </c>
      <c r="E67" s="2">
        <v>189</v>
      </c>
      <c r="G67" s="2">
        <v>2025138</v>
      </c>
      <c r="H67" s="28">
        <v>1220</v>
      </c>
      <c r="I67" s="28">
        <v>2529</v>
      </c>
      <c r="J67" s="28"/>
      <c r="K67" s="28">
        <v>1874.5</v>
      </c>
      <c r="O67" s="10" t="s">
        <v>286</v>
      </c>
      <c r="P67" s="10">
        <v>510</v>
      </c>
    </row>
    <row r="68" spans="1:16" x14ac:dyDescent="0.25">
      <c r="A68" s="2">
        <v>67</v>
      </c>
      <c r="B68" s="2" t="s">
        <v>290</v>
      </c>
      <c r="C68" s="2">
        <v>2025016</v>
      </c>
      <c r="D68" s="2" t="s">
        <v>369</v>
      </c>
      <c r="E68" s="2">
        <f>977-106</f>
        <v>871</v>
      </c>
      <c r="G68" s="2">
        <v>2025140</v>
      </c>
      <c r="H68" s="28">
        <v>1415</v>
      </c>
      <c r="I68" s="28">
        <v>833</v>
      </c>
      <c r="J68" s="28"/>
      <c r="K68" s="28">
        <v>1124</v>
      </c>
      <c r="O68" s="10" t="s">
        <v>287</v>
      </c>
      <c r="P68" s="10">
        <v>557</v>
      </c>
    </row>
    <row r="69" spans="1:16" x14ac:dyDescent="0.25">
      <c r="A69" s="2">
        <v>68</v>
      </c>
      <c r="B69" s="2" t="s">
        <v>291</v>
      </c>
      <c r="C69" s="2">
        <v>2025016</v>
      </c>
      <c r="D69" s="2" t="s">
        <v>370</v>
      </c>
      <c r="E69" s="2">
        <v>401</v>
      </c>
      <c r="G69" s="2">
        <v>2025141</v>
      </c>
      <c r="H69" s="28">
        <v>1552</v>
      </c>
      <c r="I69" s="28">
        <v>561</v>
      </c>
      <c r="J69" s="28"/>
      <c r="K69" s="28">
        <v>1056.5</v>
      </c>
      <c r="O69" s="26" t="s">
        <v>288</v>
      </c>
      <c r="P69" s="26">
        <v>31</v>
      </c>
    </row>
    <row r="70" spans="1:16" x14ac:dyDescent="0.25">
      <c r="A70" s="2">
        <v>69</v>
      </c>
      <c r="B70" s="2" t="s">
        <v>292</v>
      </c>
      <c r="C70" s="2">
        <v>2025017</v>
      </c>
      <c r="D70" s="2" t="s">
        <v>369</v>
      </c>
      <c r="E70" s="2">
        <v>994</v>
      </c>
      <c r="G70" s="2">
        <v>2025142</v>
      </c>
      <c r="H70" s="28">
        <v>2799</v>
      </c>
      <c r="I70" s="28">
        <v>1299</v>
      </c>
      <c r="J70" s="28"/>
      <c r="K70" s="28">
        <v>2049</v>
      </c>
      <c r="O70" s="26" t="s">
        <v>289</v>
      </c>
      <c r="P70" s="26">
        <v>189</v>
      </c>
    </row>
    <row r="71" spans="1:16" x14ac:dyDescent="0.25">
      <c r="A71" s="2">
        <v>70</v>
      </c>
      <c r="B71" s="2" t="s">
        <v>293</v>
      </c>
      <c r="C71" s="2">
        <v>2025017</v>
      </c>
      <c r="D71" s="2" t="s">
        <v>370</v>
      </c>
      <c r="E71" s="2">
        <v>343</v>
      </c>
      <c r="G71" s="2">
        <v>2025148</v>
      </c>
      <c r="H71" s="28">
        <v>392</v>
      </c>
      <c r="I71" s="28">
        <v>156</v>
      </c>
      <c r="J71" s="28"/>
      <c r="K71" s="28">
        <v>274</v>
      </c>
      <c r="O71" s="25" t="s">
        <v>290</v>
      </c>
      <c r="P71" s="25">
        <f>977-106</f>
        <v>871</v>
      </c>
    </row>
    <row r="72" spans="1:16" x14ac:dyDescent="0.25">
      <c r="A72" s="2">
        <v>71</v>
      </c>
      <c r="B72" s="2" t="s">
        <v>294</v>
      </c>
      <c r="C72" s="2">
        <v>2025018</v>
      </c>
      <c r="D72" s="2" t="s">
        <v>369</v>
      </c>
      <c r="E72" s="2">
        <v>2523</v>
      </c>
      <c r="G72" s="2">
        <v>2025149</v>
      </c>
      <c r="H72" s="28">
        <v>465</v>
      </c>
      <c r="I72" s="28">
        <v>1025</v>
      </c>
      <c r="J72" s="28"/>
      <c r="K72" s="28">
        <v>745</v>
      </c>
      <c r="O72" s="25" t="s">
        <v>291</v>
      </c>
      <c r="P72" s="25">
        <v>401</v>
      </c>
    </row>
    <row r="73" spans="1:16" x14ac:dyDescent="0.25">
      <c r="A73" s="2">
        <v>72</v>
      </c>
      <c r="B73" s="2" t="s">
        <v>295</v>
      </c>
      <c r="C73" s="2">
        <v>2025018</v>
      </c>
      <c r="D73" s="2" t="s">
        <v>370</v>
      </c>
      <c r="E73" s="2">
        <v>1219</v>
      </c>
      <c r="G73" s="2">
        <v>2025150</v>
      </c>
      <c r="H73" s="28">
        <v>931</v>
      </c>
      <c r="I73" s="28">
        <v>712</v>
      </c>
      <c r="J73" s="28"/>
      <c r="K73" s="28">
        <v>821.5</v>
      </c>
      <c r="O73" s="25" t="s">
        <v>292</v>
      </c>
      <c r="P73" s="25">
        <v>994</v>
      </c>
    </row>
    <row r="74" spans="1:16" x14ac:dyDescent="0.25">
      <c r="A74" s="2">
        <v>73</v>
      </c>
      <c r="B74" s="2" t="s">
        <v>296</v>
      </c>
      <c r="C74" s="2">
        <v>2025019</v>
      </c>
      <c r="D74" s="2" t="s">
        <v>369</v>
      </c>
      <c r="E74" s="2">
        <v>2695</v>
      </c>
      <c r="G74" s="2">
        <v>2025151</v>
      </c>
      <c r="H74" s="28">
        <v>510</v>
      </c>
      <c r="I74" s="28">
        <v>557</v>
      </c>
      <c r="J74" s="28"/>
      <c r="K74" s="28">
        <v>533.5</v>
      </c>
      <c r="O74" s="25" t="s">
        <v>293</v>
      </c>
      <c r="P74" s="25">
        <v>343</v>
      </c>
    </row>
    <row r="75" spans="1:16" x14ac:dyDescent="0.25">
      <c r="A75" s="2">
        <v>74</v>
      </c>
      <c r="B75" s="2" t="s">
        <v>297</v>
      </c>
      <c r="C75" s="2">
        <v>2025019</v>
      </c>
      <c r="D75" s="2" t="s">
        <v>370</v>
      </c>
      <c r="E75" s="2">
        <v>1160</v>
      </c>
      <c r="G75" s="2" t="s">
        <v>382</v>
      </c>
      <c r="H75" s="28"/>
      <c r="I75" s="28"/>
      <c r="J75" s="28"/>
      <c r="K75" s="28"/>
      <c r="O75" s="26" t="s">
        <v>294</v>
      </c>
      <c r="P75" s="26">
        <v>2523</v>
      </c>
    </row>
    <row r="76" spans="1:16" x14ac:dyDescent="0.25">
      <c r="A76" s="2">
        <v>75</v>
      </c>
      <c r="B76" s="2" t="s">
        <v>298</v>
      </c>
      <c r="C76" s="2">
        <v>2025021</v>
      </c>
      <c r="D76" s="2" t="s">
        <v>369</v>
      </c>
      <c r="E76" s="2">
        <v>933</v>
      </c>
      <c r="G76" s="2">
        <v>2025032</v>
      </c>
      <c r="H76" s="28">
        <v>0</v>
      </c>
      <c r="I76" s="28">
        <v>0</v>
      </c>
      <c r="J76" s="28"/>
      <c r="K76" s="28">
        <v>0</v>
      </c>
      <c r="O76" s="26" t="s">
        <v>295</v>
      </c>
      <c r="P76" s="26">
        <v>1219</v>
      </c>
    </row>
    <row r="77" spans="1:16" x14ac:dyDescent="0.25">
      <c r="A77" s="2">
        <v>76</v>
      </c>
      <c r="B77" s="2" t="s">
        <v>299</v>
      </c>
      <c r="C77" s="2">
        <v>2025021</v>
      </c>
      <c r="D77" s="2" t="s">
        <v>370</v>
      </c>
      <c r="E77" s="2">
        <v>750</v>
      </c>
      <c r="G77" s="2">
        <v>2025033</v>
      </c>
      <c r="H77" s="28">
        <v>0</v>
      </c>
      <c r="I77" s="28">
        <v>0</v>
      </c>
      <c r="J77" s="28"/>
      <c r="K77" s="28">
        <v>0</v>
      </c>
      <c r="O77" s="22" t="s">
        <v>296</v>
      </c>
      <c r="P77" s="22">
        <v>2695</v>
      </c>
    </row>
    <row r="78" spans="1:16" x14ac:dyDescent="0.25">
      <c r="A78" s="2">
        <v>77</v>
      </c>
      <c r="B78" s="2" t="s">
        <v>300</v>
      </c>
      <c r="C78" s="2">
        <v>2025022</v>
      </c>
      <c r="D78" s="2" t="s">
        <v>369</v>
      </c>
      <c r="E78" s="2">
        <v>85</v>
      </c>
      <c r="G78" s="2">
        <v>2025001</v>
      </c>
      <c r="H78" s="28">
        <v>0</v>
      </c>
      <c r="I78" s="28">
        <v>0</v>
      </c>
      <c r="J78" s="28"/>
      <c r="K78" s="28">
        <v>0</v>
      </c>
      <c r="O78" s="22" t="s">
        <v>297</v>
      </c>
      <c r="P78" s="22">
        <v>1160</v>
      </c>
    </row>
    <row r="79" spans="1:16" x14ac:dyDescent="0.25">
      <c r="A79" s="2">
        <v>78</v>
      </c>
      <c r="B79" s="2" t="s">
        <v>301</v>
      </c>
      <c r="C79" s="2">
        <v>2025022</v>
      </c>
      <c r="D79" s="2" t="s">
        <v>370</v>
      </c>
      <c r="E79" s="2">
        <v>719</v>
      </c>
      <c r="G79" s="2">
        <v>2025002</v>
      </c>
      <c r="H79" s="28">
        <v>0</v>
      </c>
      <c r="I79" s="28">
        <v>0</v>
      </c>
      <c r="J79" s="28"/>
      <c r="K79" s="28">
        <v>0</v>
      </c>
      <c r="O79" s="24" t="s">
        <v>298</v>
      </c>
      <c r="P79" s="24">
        <v>933</v>
      </c>
    </row>
    <row r="80" spans="1:16" x14ac:dyDescent="0.25">
      <c r="A80" s="2">
        <v>79</v>
      </c>
      <c r="B80" s="2" t="s">
        <v>302</v>
      </c>
      <c r="C80" s="2">
        <v>2025023</v>
      </c>
      <c r="D80" s="2" t="s">
        <v>369</v>
      </c>
      <c r="E80" s="2">
        <v>2790</v>
      </c>
      <c r="G80" s="2">
        <v>2025020</v>
      </c>
      <c r="H80" s="28">
        <v>0</v>
      </c>
      <c r="I80" s="28">
        <v>0</v>
      </c>
      <c r="J80" s="28"/>
      <c r="K80" s="28">
        <v>0</v>
      </c>
      <c r="O80" s="24" t="s">
        <v>299</v>
      </c>
      <c r="P80" s="24">
        <v>750</v>
      </c>
    </row>
    <row r="81" spans="1:16" x14ac:dyDescent="0.25">
      <c r="A81" s="2">
        <v>80</v>
      </c>
      <c r="B81" s="2" t="s">
        <v>303</v>
      </c>
      <c r="C81" s="2">
        <v>2025023</v>
      </c>
      <c r="D81" s="2" t="s">
        <v>370</v>
      </c>
      <c r="E81" s="2">
        <v>888</v>
      </c>
      <c r="G81" s="2">
        <v>2025039</v>
      </c>
      <c r="H81" s="28">
        <v>0</v>
      </c>
      <c r="I81" s="28">
        <v>0</v>
      </c>
      <c r="J81" s="28"/>
      <c r="K81" s="28">
        <v>0</v>
      </c>
      <c r="O81" s="22" t="s">
        <v>300</v>
      </c>
      <c r="P81" s="22">
        <v>85</v>
      </c>
    </row>
    <row r="82" spans="1:16" x14ac:dyDescent="0.25">
      <c r="A82" s="2">
        <v>81</v>
      </c>
      <c r="B82" s="2" t="s">
        <v>304</v>
      </c>
      <c r="C82" s="2">
        <v>2025024</v>
      </c>
      <c r="D82" s="2" t="s">
        <v>369</v>
      </c>
      <c r="E82" s="2">
        <v>2113</v>
      </c>
      <c r="G82" s="2">
        <v>2025114</v>
      </c>
      <c r="H82" s="28">
        <v>0</v>
      </c>
      <c r="I82" s="28">
        <v>0</v>
      </c>
      <c r="J82" s="28"/>
      <c r="K82" s="28">
        <v>0</v>
      </c>
      <c r="O82" s="22" t="s">
        <v>301</v>
      </c>
      <c r="P82" s="22">
        <v>719</v>
      </c>
    </row>
    <row r="83" spans="1:16" x14ac:dyDescent="0.25">
      <c r="A83" s="2">
        <v>82</v>
      </c>
      <c r="B83" s="2" t="s">
        <v>305</v>
      </c>
      <c r="C83" s="2">
        <v>2025024</v>
      </c>
      <c r="D83" s="2" t="s">
        <v>370</v>
      </c>
      <c r="E83" s="2">
        <v>675</v>
      </c>
      <c r="G83" s="2">
        <v>2025135</v>
      </c>
      <c r="H83" s="28">
        <v>0</v>
      </c>
      <c r="I83" s="28">
        <v>0</v>
      </c>
      <c r="J83" s="28"/>
      <c r="K83" s="28">
        <v>0</v>
      </c>
      <c r="O83" s="26" t="s">
        <v>302</v>
      </c>
      <c r="P83" s="26">
        <v>2790</v>
      </c>
    </row>
    <row r="84" spans="1:16" x14ac:dyDescent="0.25">
      <c r="A84" s="2">
        <v>83</v>
      </c>
      <c r="B84" s="2" t="s">
        <v>306</v>
      </c>
      <c r="C84" s="2">
        <v>2025025</v>
      </c>
      <c r="D84" s="2" t="s">
        <v>369</v>
      </c>
      <c r="E84" s="2">
        <f>2237-66</f>
        <v>2171</v>
      </c>
      <c r="G84" s="2">
        <v>2025131</v>
      </c>
      <c r="H84" s="28">
        <v>1040</v>
      </c>
      <c r="I84" s="28">
        <v>1642</v>
      </c>
      <c r="J84" s="28"/>
      <c r="K84" s="28">
        <v>1341</v>
      </c>
      <c r="O84" s="26" t="s">
        <v>303</v>
      </c>
      <c r="P84" s="26">
        <v>888</v>
      </c>
    </row>
    <row r="85" spans="1:16" x14ac:dyDescent="0.25">
      <c r="A85" s="2">
        <v>84</v>
      </c>
      <c r="B85" s="2" t="s">
        <v>307</v>
      </c>
      <c r="C85" s="2">
        <v>2025025</v>
      </c>
      <c r="D85" s="2" t="s">
        <v>370</v>
      </c>
      <c r="E85" s="2">
        <f>951-18</f>
        <v>933</v>
      </c>
      <c r="G85" s="2">
        <v>2025136</v>
      </c>
      <c r="H85" s="28">
        <v>1396</v>
      </c>
      <c r="I85" s="28">
        <v>916</v>
      </c>
      <c r="J85" s="28"/>
      <c r="K85" s="28">
        <v>1156</v>
      </c>
      <c r="O85" s="26" t="s">
        <v>304</v>
      </c>
      <c r="P85" s="26">
        <v>2113</v>
      </c>
    </row>
    <row r="86" spans="1:16" x14ac:dyDescent="0.25">
      <c r="A86" s="2">
        <v>85</v>
      </c>
      <c r="B86" s="2" t="s">
        <v>308</v>
      </c>
      <c r="C86" s="2">
        <v>2025026</v>
      </c>
      <c r="D86" s="2" t="s">
        <v>369</v>
      </c>
      <c r="E86" s="2">
        <v>0</v>
      </c>
      <c r="G86" s="2">
        <v>2025111</v>
      </c>
      <c r="H86" s="28">
        <v>1483</v>
      </c>
      <c r="I86" s="28">
        <v>770</v>
      </c>
      <c r="J86" s="28"/>
      <c r="K86" s="28">
        <v>1126.5</v>
      </c>
      <c r="O86" s="26" t="s">
        <v>305</v>
      </c>
      <c r="P86" s="26">
        <v>675</v>
      </c>
    </row>
    <row r="87" spans="1:16" x14ac:dyDescent="0.25">
      <c r="A87" s="2">
        <v>86</v>
      </c>
      <c r="B87" s="2" t="s">
        <v>309</v>
      </c>
      <c r="C87" s="2">
        <v>2025026</v>
      </c>
      <c r="D87" s="2" t="s">
        <v>370</v>
      </c>
      <c r="E87" s="2">
        <v>0</v>
      </c>
      <c r="G87" s="2">
        <v>2025139</v>
      </c>
      <c r="H87" s="28">
        <v>780</v>
      </c>
      <c r="I87" s="28">
        <v>557</v>
      </c>
      <c r="J87" s="28"/>
      <c r="K87" s="28">
        <v>668.5</v>
      </c>
      <c r="O87" s="22" t="s">
        <v>306</v>
      </c>
      <c r="P87" s="22">
        <f>2237-66</f>
        <v>2171</v>
      </c>
    </row>
    <row r="88" spans="1:16" x14ac:dyDescent="0.25">
      <c r="A88" s="2">
        <v>87</v>
      </c>
      <c r="B88" s="2" t="s">
        <v>310</v>
      </c>
      <c r="C88" s="2">
        <v>2025027</v>
      </c>
      <c r="D88" s="2" t="s">
        <v>369</v>
      </c>
      <c r="E88" s="2">
        <v>39</v>
      </c>
      <c r="G88" s="2">
        <v>2025129</v>
      </c>
      <c r="H88" s="28">
        <v>1517</v>
      </c>
      <c r="I88" s="28">
        <v>811</v>
      </c>
      <c r="J88" s="28"/>
      <c r="K88" s="28">
        <v>1164</v>
      </c>
      <c r="O88" s="22" t="s">
        <v>307</v>
      </c>
      <c r="P88" s="22">
        <f>951-18</f>
        <v>933</v>
      </c>
    </row>
    <row r="89" spans="1:16" x14ac:dyDescent="0.25">
      <c r="A89" s="2">
        <v>88</v>
      </c>
      <c r="B89" s="2" t="s">
        <v>311</v>
      </c>
      <c r="C89" s="2">
        <v>2025027</v>
      </c>
      <c r="D89" s="2" t="s">
        <v>370</v>
      </c>
      <c r="E89" s="2">
        <v>161</v>
      </c>
      <c r="G89" s="2">
        <v>2025112</v>
      </c>
      <c r="H89" s="28">
        <v>718</v>
      </c>
      <c r="I89" s="28">
        <v>512</v>
      </c>
      <c r="J89" s="28"/>
      <c r="K89" s="28">
        <v>615</v>
      </c>
      <c r="O89" s="20" t="s">
        <v>308</v>
      </c>
      <c r="P89" s="20" t="s">
        <v>240</v>
      </c>
    </row>
    <row r="90" spans="1:16" x14ac:dyDescent="0.25">
      <c r="A90" s="2">
        <v>89</v>
      </c>
      <c r="B90" s="2" t="s">
        <v>312</v>
      </c>
      <c r="C90" s="2">
        <v>2025028</v>
      </c>
      <c r="D90" s="2" t="s">
        <v>369</v>
      </c>
      <c r="E90" s="2">
        <v>2715</v>
      </c>
      <c r="G90" s="2">
        <v>2025090</v>
      </c>
      <c r="H90" s="28">
        <v>1103</v>
      </c>
      <c r="I90" s="28">
        <v>813</v>
      </c>
      <c r="J90" s="28"/>
      <c r="K90" s="28">
        <v>958</v>
      </c>
      <c r="O90" s="20" t="s">
        <v>309</v>
      </c>
      <c r="P90" s="20" t="s">
        <v>240</v>
      </c>
    </row>
    <row r="91" spans="1:16" x14ac:dyDescent="0.25">
      <c r="A91" s="2">
        <v>90</v>
      </c>
      <c r="B91" s="2" t="s">
        <v>313</v>
      </c>
      <c r="C91" s="2">
        <v>2025028</v>
      </c>
      <c r="D91" s="2" t="s">
        <v>370</v>
      </c>
      <c r="E91" s="2">
        <v>1696</v>
      </c>
      <c r="G91" s="2">
        <v>2025083</v>
      </c>
      <c r="H91" s="28">
        <v>717</v>
      </c>
      <c r="I91" s="28">
        <v>835</v>
      </c>
      <c r="J91" s="28"/>
      <c r="K91" s="28">
        <v>776</v>
      </c>
      <c r="O91" s="26" t="s">
        <v>310</v>
      </c>
      <c r="P91" s="26">
        <v>39</v>
      </c>
    </row>
    <row r="92" spans="1:16" x14ac:dyDescent="0.25">
      <c r="A92" s="2">
        <v>91</v>
      </c>
      <c r="B92" s="2" t="s">
        <v>314</v>
      </c>
      <c r="C92" s="2">
        <v>2025029</v>
      </c>
      <c r="D92" s="2" t="s">
        <v>369</v>
      </c>
      <c r="E92" s="2">
        <v>1294</v>
      </c>
      <c r="G92" s="2">
        <v>2025118</v>
      </c>
      <c r="H92" s="28">
        <v>1378</v>
      </c>
      <c r="I92" s="28">
        <v>929</v>
      </c>
      <c r="J92" s="28"/>
      <c r="K92" s="28">
        <v>1153.5</v>
      </c>
      <c r="O92" s="26" t="s">
        <v>311</v>
      </c>
      <c r="P92" s="26">
        <v>161</v>
      </c>
    </row>
    <row r="93" spans="1:16" x14ac:dyDescent="0.25">
      <c r="A93" s="2">
        <v>92</v>
      </c>
      <c r="B93" s="2" t="s">
        <v>315</v>
      </c>
      <c r="C93" s="2">
        <v>2025029</v>
      </c>
      <c r="D93" s="2" t="s">
        <v>370</v>
      </c>
      <c r="E93" s="2">
        <v>454</v>
      </c>
      <c r="G93" s="2" t="s">
        <v>383</v>
      </c>
      <c r="H93" s="28">
        <v>1171.5822471910112</v>
      </c>
      <c r="I93" s="28">
        <v>739.57191011235943</v>
      </c>
      <c r="J93" s="28"/>
      <c r="K93" s="28">
        <v>955.57707865168538</v>
      </c>
      <c r="O93" s="25" t="s">
        <v>312</v>
      </c>
      <c r="P93" s="25">
        <v>2715</v>
      </c>
    </row>
    <row r="94" spans="1:16" x14ac:dyDescent="0.25">
      <c r="A94" s="2">
        <v>93</v>
      </c>
      <c r="B94" s="2" t="s">
        <v>316</v>
      </c>
      <c r="C94" s="2">
        <v>2025030</v>
      </c>
      <c r="D94" s="2" t="s">
        <v>369</v>
      </c>
      <c r="E94" s="2">
        <v>228</v>
      </c>
      <c r="O94" s="25" t="s">
        <v>313</v>
      </c>
      <c r="P94" s="25">
        <v>1696</v>
      </c>
    </row>
    <row r="95" spans="1:16" x14ac:dyDescent="0.25">
      <c r="A95" s="2">
        <v>94</v>
      </c>
      <c r="B95" s="2" t="s">
        <v>317</v>
      </c>
      <c r="C95" s="2">
        <v>2025030</v>
      </c>
      <c r="D95" s="2" t="s">
        <v>370</v>
      </c>
      <c r="E95" s="2">
        <v>191</v>
      </c>
      <c r="O95" s="22" t="s">
        <v>314</v>
      </c>
      <c r="P95" s="22">
        <v>1294</v>
      </c>
    </row>
    <row r="96" spans="1:16" x14ac:dyDescent="0.25">
      <c r="A96" s="2">
        <v>95</v>
      </c>
      <c r="B96" s="2" t="s">
        <v>318</v>
      </c>
      <c r="C96" s="2">
        <v>2025031</v>
      </c>
      <c r="D96" s="2" t="s">
        <v>369</v>
      </c>
      <c r="E96" s="2">
        <v>0</v>
      </c>
      <c r="O96" s="22" t="s">
        <v>315</v>
      </c>
      <c r="P96" s="22">
        <v>454</v>
      </c>
    </row>
    <row r="97" spans="1:24" x14ac:dyDescent="0.25">
      <c r="A97" s="2">
        <v>96</v>
      </c>
      <c r="B97" s="2" t="s">
        <v>319</v>
      </c>
      <c r="C97" s="2">
        <v>2025031</v>
      </c>
      <c r="D97" s="2" t="s">
        <v>370</v>
      </c>
      <c r="E97" s="2">
        <v>0</v>
      </c>
      <c r="O97" s="20" t="s">
        <v>316</v>
      </c>
      <c r="P97" s="20">
        <v>228</v>
      </c>
    </row>
    <row r="98" spans="1:24" x14ac:dyDescent="0.25">
      <c r="A98" s="2">
        <v>97</v>
      </c>
      <c r="B98" s="2" t="s">
        <v>320</v>
      </c>
      <c r="C98" s="2">
        <v>2025034</v>
      </c>
      <c r="D98" s="2" t="s">
        <v>369</v>
      </c>
      <c r="E98" s="2">
        <v>0</v>
      </c>
      <c r="O98" s="20" t="s">
        <v>317</v>
      </c>
      <c r="P98" s="20">
        <v>191</v>
      </c>
    </row>
    <row r="99" spans="1:24" x14ac:dyDescent="0.25">
      <c r="A99" s="2">
        <v>98</v>
      </c>
      <c r="B99" s="2" t="s">
        <v>321</v>
      </c>
      <c r="C99" s="2">
        <v>2025034</v>
      </c>
      <c r="D99" s="2" t="s">
        <v>370</v>
      </c>
      <c r="E99" s="2">
        <v>0</v>
      </c>
      <c r="O99" s="20" t="s">
        <v>318</v>
      </c>
      <c r="P99" s="20" t="s">
        <v>240</v>
      </c>
    </row>
    <row r="100" spans="1:24" x14ac:dyDescent="0.25">
      <c r="A100" s="2">
        <v>99</v>
      </c>
      <c r="B100" s="2" t="s">
        <v>322</v>
      </c>
      <c r="C100" s="2">
        <v>2025035</v>
      </c>
      <c r="D100" s="2" t="s">
        <v>369</v>
      </c>
      <c r="E100" s="2">
        <f>209-(2.14+0.84)</f>
        <v>206.02</v>
      </c>
      <c r="O100" s="20" t="s">
        <v>319</v>
      </c>
      <c r="P100" s="20" t="s">
        <v>240</v>
      </c>
    </row>
    <row r="101" spans="1:24" x14ac:dyDescent="0.25">
      <c r="A101" s="2">
        <v>100</v>
      </c>
      <c r="B101" s="2" t="s">
        <v>323</v>
      </c>
      <c r="C101" s="2">
        <v>2025035</v>
      </c>
      <c r="D101" s="2" t="s">
        <v>370</v>
      </c>
      <c r="E101" s="2">
        <f>248-35.6</f>
        <v>212.4</v>
      </c>
      <c r="O101" s="19" t="s">
        <v>320</v>
      </c>
      <c r="P101" s="19" t="s">
        <v>240</v>
      </c>
    </row>
    <row r="102" spans="1:24" x14ac:dyDescent="0.25">
      <c r="A102" s="2">
        <v>101</v>
      </c>
      <c r="B102" s="2" t="s">
        <v>324</v>
      </c>
      <c r="C102" s="2">
        <v>2025036</v>
      </c>
      <c r="D102" s="2" t="s">
        <v>369</v>
      </c>
      <c r="E102" s="2">
        <v>645</v>
      </c>
      <c r="O102" s="19" t="s">
        <v>321</v>
      </c>
      <c r="P102" s="19" t="s">
        <v>240</v>
      </c>
    </row>
    <row r="103" spans="1:24" x14ac:dyDescent="0.25">
      <c r="A103" s="2">
        <v>102</v>
      </c>
      <c r="B103" s="2" t="s">
        <v>325</v>
      </c>
      <c r="C103" s="2">
        <v>2025036</v>
      </c>
      <c r="D103" s="2" t="s">
        <v>370</v>
      </c>
      <c r="E103" s="2">
        <v>607</v>
      </c>
      <c r="O103" s="22" t="s">
        <v>322</v>
      </c>
      <c r="P103" s="22">
        <f>209-(0.84+2.14)</f>
        <v>206.02</v>
      </c>
    </row>
    <row r="104" spans="1:24" x14ac:dyDescent="0.25">
      <c r="A104" s="2">
        <v>103</v>
      </c>
      <c r="B104" s="2" t="s">
        <v>326</v>
      </c>
      <c r="C104" s="2">
        <v>2025037</v>
      </c>
      <c r="D104" s="2" t="s">
        <v>369</v>
      </c>
      <c r="E104" s="2">
        <v>1871</v>
      </c>
      <c r="O104" s="22" t="s">
        <v>323</v>
      </c>
      <c r="P104" s="22">
        <f>248-35.6</f>
        <v>212.4</v>
      </c>
    </row>
    <row r="105" spans="1:24" x14ac:dyDescent="0.25">
      <c r="A105" s="2">
        <v>104</v>
      </c>
      <c r="B105" s="2" t="s">
        <v>327</v>
      </c>
      <c r="C105" s="2">
        <v>2025037</v>
      </c>
      <c r="D105" s="2" t="s">
        <v>370</v>
      </c>
      <c r="E105" s="2">
        <v>1585</v>
      </c>
      <c r="O105" s="21" t="s">
        <v>324</v>
      </c>
      <c r="P105" s="21">
        <v>645</v>
      </c>
    </row>
    <row r="106" spans="1:24" x14ac:dyDescent="0.25">
      <c r="A106" s="2">
        <v>105</v>
      </c>
      <c r="B106" s="2" t="s">
        <v>328</v>
      </c>
      <c r="C106" s="2">
        <v>2025038</v>
      </c>
      <c r="D106" s="2" t="s">
        <v>369</v>
      </c>
      <c r="E106" s="2">
        <v>1642</v>
      </c>
      <c r="O106" s="21" t="s">
        <v>325</v>
      </c>
      <c r="P106" s="21">
        <v>607</v>
      </c>
      <c r="W106" s="22"/>
      <c r="X106" s="22"/>
    </row>
    <row r="107" spans="1:24" x14ac:dyDescent="0.25">
      <c r="A107" s="2">
        <v>106</v>
      </c>
      <c r="B107" s="2" t="s">
        <v>329</v>
      </c>
      <c r="C107" s="2">
        <v>2025038</v>
      </c>
      <c r="D107" s="2" t="s">
        <v>370</v>
      </c>
      <c r="E107" s="2">
        <v>1381</v>
      </c>
      <c r="O107" s="22" t="s">
        <v>326</v>
      </c>
      <c r="P107" s="22">
        <v>1871</v>
      </c>
      <c r="W107" s="22"/>
      <c r="X107" s="22"/>
    </row>
    <row r="108" spans="1:24" x14ac:dyDescent="0.25">
      <c r="A108" s="2">
        <v>107</v>
      </c>
      <c r="B108" s="2" t="s">
        <v>330</v>
      </c>
      <c r="C108" s="2">
        <v>2025003</v>
      </c>
      <c r="D108" s="2" t="s">
        <v>369</v>
      </c>
      <c r="E108" s="2">
        <v>315</v>
      </c>
      <c r="O108" s="22" t="s">
        <v>327</v>
      </c>
      <c r="P108" s="22">
        <v>1585</v>
      </c>
      <c r="U108" s="20"/>
      <c r="V108" s="20"/>
    </row>
    <row r="109" spans="1:24" x14ac:dyDescent="0.25">
      <c r="A109" s="2">
        <v>108</v>
      </c>
      <c r="B109" s="2" t="s">
        <v>331</v>
      </c>
      <c r="C109" s="2">
        <v>2025003</v>
      </c>
      <c r="D109" s="2" t="s">
        <v>370</v>
      </c>
      <c r="E109" s="2">
        <v>250</v>
      </c>
      <c r="O109" s="22" t="s">
        <v>328</v>
      </c>
      <c r="P109" s="22">
        <v>1642</v>
      </c>
      <c r="U109" s="20"/>
      <c r="V109" s="20"/>
    </row>
    <row r="110" spans="1:24" x14ac:dyDescent="0.25">
      <c r="A110" s="2">
        <v>109</v>
      </c>
      <c r="B110" s="2" t="s">
        <v>332</v>
      </c>
      <c r="C110" s="2">
        <v>2025040</v>
      </c>
      <c r="D110" s="2" t="s">
        <v>369</v>
      </c>
      <c r="E110" s="2">
        <v>0</v>
      </c>
      <c r="O110" s="22" t="s">
        <v>329</v>
      </c>
      <c r="P110" s="22">
        <v>1381</v>
      </c>
    </row>
    <row r="111" spans="1:24" x14ac:dyDescent="0.25">
      <c r="A111" s="2">
        <v>110</v>
      </c>
      <c r="B111" s="2" t="s">
        <v>333</v>
      </c>
      <c r="C111" s="2">
        <v>2025040</v>
      </c>
      <c r="D111" s="2" t="s">
        <v>370</v>
      </c>
      <c r="E111" s="2">
        <v>0</v>
      </c>
      <c r="O111" s="20" t="s">
        <v>330</v>
      </c>
      <c r="P111" s="20">
        <v>315</v>
      </c>
    </row>
    <row r="112" spans="1:24" x14ac:dyDescent="0.25">
      <c r="A112" s="2">
        <v>111</v>
      </c>
      <c r="B112" s="2" t="s">
        <v>334</v>
      </c>
      <c r="C112" s="2">
        <v>2025004</v>
      </c>
      <c r="D112" s="2" t="s">
        <v>369</v>
      </c>
      <c r="E112" s="2">
        <v>42</v>
      </c>
      <c r="O112" s="20" t="s">
        <v>331</v>
      </c>
      <c r="P112" s="20">
        <v>250</v>
      </c>
    </row>
    <row r="113" spans="1:16" x14ac:dyDescent="0.25">
      <c r="A113" s="2">
        <v>112</v>
      </c>
      <c r="B113" s="2" t="s">
        <v>335</v>
      </c>
      <c r="C113" s="2">
        <v>2025004</v>
      </c>
      <c r="D113" s="2" t="s">
        <v>370</v>
      </c>
      <c r="E113" s="2">
        <v>141</v>
      </c>
      <c r="O113" s="20" t="s">
        <v>332</v>
      </c>
      <c r="P113" s="20" t="s">
        <v>240</v>
      </c>
    </row>
    <row r="114" spans="1:16" x14ac:dyDescent="0.25">
      <c r="A114" s="2">
        <v>113</v>
      </c>
      <c r="B114" s="2" t="s">
        <v>336</v>
      </c>
      <c r="C114" s="2">
        <v>2025005</v>
      </c>
      <c r="D114" s="2" t="s">
        <v>369</v>
      </c>
      <c r="E114" s="2">
        <v>2222</v>
      </c>
      <c r="O114" s="20" t="s">
        <v>333</v>
      </c>
      <c r="P114" s="20" t="s">
        <v>240</v>
      </c>
    </row>
    <row r="115" spans="1:16" x14ac:dyDescent="0.25">
      <c r="A115" s="2">
        <v>114</v>
      </c>
      <c r="B115" s="2" t="s">
        <v>337</v>
      </c>
      <c r="C115" s="2">
        <v>2025005</v>
      </c>
      <c r="D115" s="2" t="s">
        <v>370</v>
      </c>
      <c r="E115" s="2">
        <v>939</v>
      </c>
      <c r="O115" s="20" t="s">
        <v>334</v>
      </c>
      <c r="P115" s="20">
        <v>42</v>
      </c>
    </row>
    <row r="116" spans="1:16" x14ac:dyDescent="0.25">
      <c r="A116" s="2">
        <v>115</v>
      </c>
      <c r="B116" s="2" t="s">
        <v>338</v>
      </c>
      <c r="C116" s="2">
        <v>2025006</v>
      </c>
      <c r="D116" s="2" t="s">
        <v>369</v>
      </c>
      <c r="E116" s="2">
        <v>17</v>
      </c>
      <c r="O116" s="20" t="s">
        <v>335</v>
      </c>
      <c r="P116" s="20">
        <v>141</v>
      </c>
    </row>
    <row r="117" spans="1:16" x14ac:dyDescent="0.25">
      <c r="A117" s="2">
        <v>116</v>
      </c>
      <c r="B117" s="2" t="s">
        <v>339</v>
      </c>
      <c r="C117" s="2">
        <v>2025006</v>
      </c>
      <c r="D117" s="2" t="s">
        <v>370</v>
      </c>
      <c r="E117" s="2">
        <v>0</v>
      </c>
      <c r="O117" s="26" t="s">
        <v>336</v>
      </c>
      <c r="P117" s="26">
        <v>2222</v>
      </c>
    </row>
    <row r="118" spans="1:16" x14ac:dyDescent="0.25">
      <c r="A118" s="2">
        <v>117</v>
      </c>
      <c r="B118" s="2" t="s">
        <v>340</v>
      </c>
      <c r="C118" s="2">
        <v>2025007</v>
      </c>
      <c r="D118" s="2" t="s">
        <v>369</v>
      </c>
      <c r="E118" s="2">
        <v>0</v>
      </c>
      <c r="O118" s="26" t="s">
        <v>337</v>
      </c>
      <c r="P118" s="26">
        <v>939</v>
      </c>
    </row>
    <row r="119" spans="1:16" x14ac:dyDescent="0.25">
      <c r="A119" s="2">
        <v>118</v>
      </c>
      <c r="B119" s="2" t="s">
        <v>341</v>
      </c>
      <c r="C119" s="2">
        <v>2025007</v>
      </c>
      <c r="D119" s="2" t="s">
        <v>370</v>
      </c>
      <c r="E119" s="2">
        <v>0</v>
      </c>
      <c r="O119" s="26" t="s">
        <v>338</v>
      </c>
      <c r="P119" s="26">
        <v>17</v>
      </c>
    </row>
    <row r="120" spans="1:16" x14ac:dyDescent="0.25">
      <c r="A120" s="2">
        <v>119</v>
      </c>
      <c r="B120" s="2" t="s">
        <v>342</v>
      </c>
      <c r="C120" s="2">
        <v>2025081</v>
      </c>
      <c r="D120" s="2" t="s">
        <v>369</v>
      </c>
      <c r="E120" s="2">
        <v>2745</v>
      </c>
      <c r="O120" s="26" t="s">
        <v>339</v>
      </c>
      <c r="P120" s="26" t="s">
        <v>240</v>
      </c>
    </row>
    <row r="121" spans="1:16" x14ac:dyDescent="0.25">
      <c r="A121" s="2">
        <v>120</v>
      </c>
      <c r="B121" s="2" t="s">
        <v>343</v>
      </c>
      <c r="C121" s="2">
        <v>2025081</v>
      </c>
      <c r="D121" s="2" t="s">
        <v>370</v>
      </c>
      <c r="E121" s="2">
        <v>1244</v>
      </c>
      <c r="O121" s="20" t="s">
        <v>340</v>
      </c>
      <c r="P121" s="20" t="s">
        <v>240</v>
      </c>
    </row>
    <row r="122" spans="1:16" x14ac:dyDescent="0.25">
      <c r="A122" s="2">
        <v>121</v>
      </c>
      <c r="B122" s="2" t="s">
        <v>344</v>
      </c>
      <c r="C122" s="2">
        <v>2025082</v>
      </c>
      <c r="D122" s="2" t="s">
        <v>369</v>
      </c>
      <c r="E122" s="2">
        <v>400</v>
      </c>
      <c r="O122" s="20" t="s">
        <v>341</v>
      </c>
      <c r="P122" s="20" t="s">
        <v>240</v>
      </c>
    </row>
    <row r="123" spans="1:16" x14ac:dyDescent="0.25">
      <c r="A123" s="2">
        <v>122</v>
      </c>
      <c r="B123" s="2" t="s">
        <v>345</v>
      </c>
      <c r="C123" s="2">
        <v>2025082</v>
      </c>
      <c r="D123" s="2" t="s">
        <v>370</v>
      </c>
      <c r="E123" s="2">
        <v>338</v>
      </c>
      <c r="O123" s="22" t="s">
        <v>342</v>
      </c>
      <c r="P123" s="22">
        <v>2745</v>
      </c>
    </row>
    <row r="124" spans="1:16" x14ac:dyDescent="0.25">
      <c r="A124" s="2">
        <v>123</v>
      </c>
      <c r="B124" s="2" t="s">
        <v>346</v>
      </c>
      <c r="C124" s="2">
        <v>2025084</v>
      </c>
      <c r="D124" s="2" t="s">
        <v>369</v>
      </c>
      <c r="E124" s="2">
        <v>1514</v>
      </c>
      <c r="O124" s="22" t="s">
        <v>343</v>
      </c>
      <c r="P124" s="22">
        <v>1244</v>
      </c>
    </row>
    <row r="125" spans="1:16" x14ac:dyDescent="0.25">
      <c r="A125" s="2">
        <v>124</v>
      </c>
      <c r="B125" s="2" t="s">
        <v>347</v>
      </c>
      <c r="C125" s="2">
        <v>2025084</v>
      </c>
      <c r="D125" s="2" t="s">
        <v>370</v>
      </c>
      <c r="E125" s="2">
        <v>556</v>
      </c>
      <c r="O125" s="23" t="s">
        <v>344</v>
      </c>
      <c r="P125" s="23">
        <v>400</v>
      </c>
    </row>
    <row r="126" spans="1:16" x14ac:dyDescent="0.25">
      <c r="A126" s="2">
        <v>125</v>
      </c>
      <c r="B126" s="2" t="s">
        <v>348</v>
      </c>
      <c r="C126" s="2">
        <v>2025085</v>
      </c>
      <c r="D126" s="2" t="s">
        <v>369</v>
      </c>
      <c r="E126" s="2">
        <v>2566</v>
      </c>
      <c r="O126" s="23" t="s">
        <v>345</v>
      </c>
      <c r="P126" s="23">
        <v>338</v>
      </c>
    </row>
    <row r="127" spans="1:16" x14ac:dyDescent="0.25">
      <c r="A127" s="2">
        <v>126</v>
      </c>
      <c r="B127" s="2" t="s">
        <v>349</v>
      </c>
      <c r="C127" s="2">
        <v>2025085</v>
      </c>
      <c r="D127" s="2" t="s">
        <v>370</v>
      </c>
      <c r="E127" s="2">
        <v>1512</v>
      </c>
      <c r="O127" s="10" t="s">
        <v>346</v>
      </c>
      <c r="P127" s="10">
        <v>1514</v>
      </c>
    </row>
    <row r="128" spans="1:16" x14ac:dyDescent="0.25">
      <c r="A128" s="2">
        <v>127</v>
      </c>
      <c r="B128" s="2" t="s">
        <v>350</v>
      </c>
      <c r="C128" s="2">
        <v>2025086</v>
      </c>
      <c r="D128" s="2" t="s">
        <v>369</v>
      </c>
      <c r="E128" s="2">
        <v>3538</v>
      </c>
      <c r="O128" s="10" t="s">
        <v>347</v>
      </c>
      <c r="P128" s="10">
        <v>556</v>
      </c>
    </row>
    <row r="129" spans="1:16" x14ac:dyDescent="0.25">
      <c r="A129" s="2">
        <v>128</v>
      </c>
      <c r="B129" s="2" t="s">
        <v>351</v>
      </c>
      <c r="C129" s="2">
        <v>2025086</v>
      </c>
      <c r="D129" s="2" t="s">
        <v>370</v>
      </c>
      <c r="E129" s="2">
        <v>2263</v>
      </c>
      <c r="O129" s="10" t="s">
        <v>348</v>
      </c>
      <c r="P129" s="10">
        <v>2566</v>
      </c>
    </row>
    <row r="130" spans="1:16" x14ac:dyDescent="0.25">
      <c r="A130" s="2">
        <v>129</v>
      </c>
      <c r="B130" s="2" t="s">
        <v>352</v>
      </c>
      <c r="C130" s="2">
        <v>2025087</v>
      </c>
      <c r="D130" s="2" t="s">
        <v>369</v>
      </c>
      <c r="E130" s="2">
        <v>1780</v>
      </c>
      <c r="O130" s="10" t="s">
        <v>349</v>
      </c>
      <c r="P130" s="10">
        <v>1512</v>
      </c>
    </row>
    <row r="131" spans="1:16" x14ac:dyDescent="0.25">
      <c r="A131" s="2">
        <v>130</v>
      </c>
      <c r="B131" s="2" t="s">
        <v>353</v>
      </c>
      <c r="C131" s="2">
        <v>2025087</v>
      </c>
      <c r="D131" s="2" t="s">
        <v>370</v>
      </c>
      <c r="E131" s="2">
        <v>1728</v>
      </c>
      <c r="O131" s="10" t="s">
        <v>350</v>
      </c>
      <c r="P131" s="10">
        <v>3538</v>
      </c>
    </row>
    <row r="132" spans="1:16" x14ac:dyDescent="0.25">
      <c r="A132" s="2">
        <v>131</v>
      </c>
      <c r="B132" s="2" t="s">
        <v>354</v>
      </c>
      <c r="C132" s="2">
        <v>2025088</v>
      </c>
      <c r="D132" s="2" t="s">
        <v>369</v>
      </c>
      <c r="E132" s="2">
        <v>3113</v>
      </c>
      <c r="O132" s="10" t="s">
        <v>351</v>
      </c>
      <c r="P132" s="10">
        <v>2263</v>
      </c>
    </row>
    <row r="133" spans="1:16" x14ac:dyDescent="0.25">
      <c r="A133" s="2">
        <v>132</v>
      </c>
      <c r="B133" s="2" t="s">
        <v>355</v>
      </c>
      <c r="C133" s="2">
        <v>2025088</v>
      </c>
      <c r="D133" s="2" t="s">
        <v>370</v>
      </c>
      <c r="E133" s="2">
        <v>899</v>
      </c>
      <c r="O133" s="10" t="s">
        <v>352</v>
      </c>
      <c r="P133" s="10">
        <v>1780</v>
      </c>
    </row>
    <row r="134" spans="1:16" x14ac:dyDescent="0.25">
      <c r="A134" s="2">
        <v>133</v>
      </c>
      <c r="B134" s="2" t="s">
        <v>356</v>
      </c>
      <c r="C134" s="2">
        <v>2025089</v>
      </c>
      <c r="D134" s="2" t="s">
        <v>369</v>
      </c>
      <c r="E134" s="2">
        <v>857</v>
      </c>
      <c r="O134" s="10" t="s">
        <v>353</v>
      </c>
      <c r="P134" s="10">
        <v>1728</v>
      </c>
    </row>
    <row r="135" spans="1:16" x14ac:dyDescent="0.25">
      <c r="A135" s="2">
        <v>134</v>
      </c>
      <c r="B135" s="2" t="s">
        <v>357</v>
      </c>
      <c r="C135" s="2">
        <v>2025089</v>
      </c>
      <c r="D135" s="2" t="s">
        <v>370</v>
      </c>
      <c r="E135" s="2">
        <v>705</v>
      </c>
      <c r="O135" s="10" t="s">
        <v>354</v>
      </c>
      <c r="P135" s="10">
        <v>3113</v>
      </c>
    </row>
    <row r="136" spans="1:16" x14ac:dyDescent="0.25">
      <c r="A136" s="2">
        <v>135</v>
      </c>
      <c r="B136" s="2" t="s">
        <v>358</v>
      </c>
      <c r="C136" s="2">
        <v>2025008</v>
      </c>
      <c r="D136" s="2" t="s">
        <v>369</v>
      </c>
      <c r="E136" s="2">
        <v>2418</v>
      </c>
      <c r="O136" s="10" t="s">
        <v>355</v>
      </c>
      <c r="P136" s="10">
        <v>899</v>
      </c>
    </row>
    <row r="137" spans="1:16" x14ac:dyDescent="0.25">
      <c r="A137" s="2">
        <v>136</v>
      </c>
      <c r="B137" s="2" t="s">
        <v>359</v>
      </c>
      <c r="C137" s="2">
        <v>2025008</v>
      </c>
      <c r="D137" s="2" t="s">
        <v>370</v>
      </c>
      <c r="E137" s="2">
        <v>1706</v>
      </c>
      <c r="O137" s="10" t="s">
        <v>356</v>
      </c>
      <c r="P137" s="10">
        <v>857</v>
      </c>
    </row>
    <row r="138" spans="1:16" x14ac:dyDescent="0.25">
      <c r="A138" s="2">
        <v>137</v>
      </c>
      <c r="B138" s="2" t="s">
        <v>360</v>
      </c>
      <c r="C138" s="2">
        <v>2025091</v>
      </c>
      <c r="D138" s="2" t="s">
        <v>369</v>
      </c>
      <c r="E138" s="2">
        <v>1230</v>
      </c>
      <c r="O138" s="10" t="s">
        <v>357</v>
      </c>
      <c r="P138" s="10">
        <v>705</v>
      </c>
    </row>
    <row r="139" spans="1:16" x14ac:dyDescent="0.25">
      <c r="A139" s="2">
        <v>138</v>
      </c>
      <c r="B139" s="2" t="s">
        <v>361</v>
      </c>
      <c r="C139" s="2">
        <v>2025091</v>
      </c>
      <c r="D139" s="2" t="s">
        <v>370</v>
      </c>
      <c r="E139" s="2">
        <v>990</v>
      </c>
      <c r="O139" s="26" t="s">
        <v>358</v>
      </c>
      <c r="P139" s="26">
        <v>2418</v>
      </c>
    </row>
    <row r="140" spans="1:16" x14ac:dyDescent="0.25">
      <c r="A140" s="2">
        <v>139</v>
      </c>
      <c r="B140" s="2" t="s">
        <v>362</v>
      </c>
      <c r="C140" s="2">
        <v>2025092</v>
      </c>
      <c r="D140" s="2" t="s">
        <v>369</v>
      </c>
      <c r="E140" s="2">
        <v>992</v>
      </c>
      <c r="O140" s="26" t="s">
        <v>359</v>
      </c>
      <c r="P140" s="26">
        <v>1706</v>
      </c>
    </row>
    <row r="141" spans="1:16" x14ac:dyDescent="0.25">
      <c r="A141" s="2">
        <v>140</v>
      </c>
      <c r="B141" s="2" t="s">
        <v>363</v>
      </c>
      <c r="C141" s="2">
        <v>2025092</v>
      </c>
      <c r="D141" s="2" t="s">
        <v>370</v>
      </c>
      <c r="E141" s="2">
        <v>377</v>
      </c>
      <c r="O141" s="10" t="s">
        <v>360</v>
      </c>
      <c r="P141" s="10">
        <v>1230</v>
      </c>
    </row>
    <row r="142" spans="1:16" x14ac:dyDescent="0.25">
      <c r="A142" s="2">
        <v>141</v>
      </c>
      <c r="B142" s="2" t="s">
        <v>364</v>
      </c>
      <c r="C142" s="2">
        <v>2025093</v>
      </c>
      <c r="D142" s="2" t="s">
        <v>369</v>
      </c>
      <c r="E142" s="2">
        <v>1076</v>
      </c>
      <c r="O142" s="10" t="s">
        <v>361</v>
      </c>
      <c r="P142" s="10">
        <v>990</v>
      </c>
    </row>
    <row r="143" spans="1:16" x14ac:dyDescent="0.25">
      <c r="A143" s="2">
        <v>142</v>
      </c>
      <c r="B143" s="2" t="s">
        <v>365</v>
      </c>
      <c r="C143" s="2">
        <v>2025093</v>
      </c>
      <c r="D143" s="2" t="s">
        <v>370</v>
      </c>
      <c r="E143" s="2">
        <v>803</v>
      </c>
      <c r="O143" s="10" t="s">
        <v>362</v>
      </c>
      <c r="P143" s="10">
        <v>992</v>
      </c>
    </row>
    <row r="144" spans="1:16" x14ac:dyDescent="0.25">
      <c r="A144" s="2">
        <v>143</v>
      </c>
      <c r="B144" s="2" t="s">
        <v>366</v>
      </c>
      <c r="C144" s="2">
        <v>2025009</v>
      </c>
      <c r="D144" s="2" t="s">
        <v>369</v>
      </c>
      <c r="E144" s="2">
        <v>1377</v>
      </c>
      <c r="O144" s="10" t="s">
        <v>363</v>
      </c>
      <c r="P144" s="10">
        <v>377</v>
      </c>
    </row>
    <row r="145" spans="1:16" x14ac:dyDescent="0.25">
      <c r="A145" s="2">
        <v>144</v>
      </c>
      <c r="B145" s="2" t="s">
        <v>367</v>
      </c>
      <c r="C145" s="2">
        <v>2025009</v>
      </c>
      <c r="D145" s="2" t="s">
        <v>370</v>
      </c>
      <c r="E145" s="2">
        <v>1864</v>
      </c>
      <c r="O145" s="10" t="s">
        <v>364</v>
      </c>
      <c r="P145" s="10">
        <v>1076</v>
      </c>
    </row>
    <row r="146" spans="1:16" x14ac:dyDescent="0.25">
      <c r="A146" s="2">
        <v>145</v>
      </c>
      <c r="C146" s="4">
        <v>2025032</v>
      </c>
      <c r="D146" s="4" t="s">
        <v>369</v>
      </c>
      <c r="E146" s="4">
        <v>0</v>
      </c>
      <c r="O146" s="10" t="s">
        <v>365</v>
      </c>
      <c r="P146" s="10">
        <v>803</v>
      </c>
    </row>
    <row r="147" spans="1:16" x14ac:dyDescent="0.25">
      <c r="A147" s="2">
        <v>146</v>
      </c>
      <c r="C147" s="4">
        <v>2025032</v>
      </c>
      <c r="D147" s="4" t="s">
        <v>370</v>
      </c>
      <c r="E147" s="4">
        <v>0</v>
      </c>
      <c r="O147" s="26" t="s">
        <v>366</v>
      </c>
      <c r="P147" s="26">
        <v>1377</v>
      </c>
    </row>
    <row r="148" spans="1:16" x14ac:dyDescent="0.25">
      <c r="A148" s="2">
        <v>147</v>
      </c>
      <c r="C148" s="4">
        <v>2025033</v>
      </c>
      <c r="D148" s="4" t="s">
        <v>369</v>
      </c>
      <c r="E148" s="4">
        <v>0</v>
      </c>
      <c r="O148" s="26" t="s">
        <v>367</v>
      </c>
      <c r="P148" s="26">
        <v>1864</v>
      </c>
    </row>
    <row r="149" spans="1:16" x14ac:dyDescent="0.25">
      <c r="A149" s="2">
        <v>148</v>
      </c>
      <c r="C149" s="4">
        <v>2025033</v>
      </c>
      <c r="D149" s="4" t="s">
        <v>370</v>
      </c>
      <c r="E149" s="4">
        <v>0</v>
      </c>
    </row>
    <row r="150" spans="1:16" x14ac:dyDescent="0.25">
      <c r="A150" s="2">
        <v>149</v>
      </c>
      <c r="C150" s="4">
        <v>2025001</v>
      </c>
      <c r="D150" s="4" t="s">
        <v>369</v>
      </c>
      <c r="E150" s="4">
        <v>0</v>
      </c>
      <c r="F150" s="2" t="s">
        <v>375</v>
      </c>
    </row>
    <row r="151" spans="1:16" x14ac:dyDescent="0.25">
      <c r="A151" s="2">
        <v>150</v>
      </c>
      <c r="C151" s="4">
        <v>2025001</v>
      </c>
      <c r="D151" s="4" t="s">
        <v>370</v>
      </c>
      <c r="E151" s="4">
        <v>0</v>
      </c>
      <c r="F151" s="2" t="s">
        <v>375</v>
      </c>
    </row>
    <row r="152" spans="1:16" x14ac:dyDescent="0.25">
      <c r="A152" s="2">
        <v>151</v>
      </c>
      <c r="C152" s="4">
        <v>2025002</v>
      </c>
      <c r="D152" s="4" t="s">
        <v>369</v>
      </c>
      <c r="E152" s="4">
        <v>0</v>
      </c>
      <c r="F152" s="2" t="s">
        <v>375</v>
      </c>
    </row>
    <row r="153" spans="1:16" x14ac:dyDescent="0.25">
      <c r="A153" s="2">
        <v>152</v>
      </c>
      <c r="C153" s="4">
        <v>2025002</v>
      </c>
      <c r="D153" s="4" t="s">
        <v>370</v>
      </c>
      <c r="E153" s="4">
        <v>0</v>
      </c>
      <c r="F153" s="2" t="s">
        <v>375</v>
      </c>
    </row>
    <row r="154" spans="1:16" x14ac:dyDescent="0.25">
      <c r="A154" s="2">
        <v>153</v>
      </c>
      <c r="C154" s="4">
        <v>2025020</v>
      </c>
      <c r="D154" s="4" t="s">
        <v>369</v>
      </c>
      <c r="E154" s="4">
        <v>0</v>
      </c>
      <c r="F154" s="2" t="s">
        <v>375</v>
      </c>
    </row>
    <row r="155" spans="1:16" x14ac:dyDescent="0.25">
      <c r="A155" s="2">
        <v>154</v>
      </c>
      <c r="C155" s="4">
        <v>2025020</v>
      </c>
      <c r="D155" s="4" t="s">
        <v>370</v>
      </c>
      <c r="E155" s="4">
        <v>0</v>
      </c>
      <c r="F155" s="2" t="s">
        <v>375</v>
      </c>
    </row>
    <row r="156" spans="1:16" x14ac:dyDescent="0.25">
      <c r="A156" s="2">
        <v>155</v>
      </c>
      <c r="C156" s="4">
        <v>2025039</v>
      </c>
      <c r="D156" s="4" t="s">
        <v>369</v>
      </c>
      <c r="E156" s="4">
        <v>0</v>
      </c>
      <c r="F156" s="2" t="s">
        <v>375</v>
      </c>
    </row>
    <row r="157" spans="1:16" x14ac:dyDescent="0.25">
      <c r="A157" s="2">
        <v>156</v>
      </c>
      <c r="C157" s="4">
        <v>2025039</v>
      </c>
      <c r="D157" s="4" t="s">
        <v>370</v>
      </c>
      <c r="E157" s="4">
        <v>0</v>
      </c>
      <c r="F157" s="2" t="s">
        <v>375</v>
      </c>
    </row>
    <row r="158" spans="1:16" x14ac:dyDescent="0.25">
      <c r="A158" s="2">
        <v>157</v>
      </c>
      <c r="C158" s="4">
        <v>2025114</v>
      </c>
      <c r="D158" s="4" t="s">
        <v>369</v>
      </c>
      <c r="E158" s="4">
        <v>0</v>
      </c>
      <c r="F158" s="2" t="s">
        <v>376</v>
      </c>
    </row>
    <row r="159" spans="1:16" x14ac:dyDescent="0.25">
      <c r="A159" s="2">
        <v>158</v>
      </c>
      <c r="C159" s="4">
        <v>2025114</v>
      </c>
      <c r="D159" s="4" t="s">
        <v>370</v>
      </c>
      <c r="E159" s="4">
        <v>0</v>
      </c>
      <c r="F159" s="2" t="s">
        <v>376</v>
      </c>
    </row>
    <row r="160" spans="1:16" x14ac:dyDescent="0.25">
      <c r="A160" s="2">
        <v>159</v>
      </c>
      <c r="C160" s="4">
        <v>2025135</v>
      </c>
      <c r="D160" s="4" t="s">
        <v>369</v>
      </c>
      <c r="E160" s="4">
        <v>0</v>
      </c>
      <c r="F160" s="2" t="s">
        <v>376</v>
      </c>
    </row>
    <row r="161" spans="1:6" x14ac:dyDescent="0.25">
      <c r="A161" s="2">
        <v>160</v>
      </c>
      <c r="C161" s="4">
        <v>2025135</v>
      </c>
      <c r="D161" s="4" t="s">
        <v>370</v>
      </c>
      <c r="E161" s="4">
        <v>0</v>
      </c>
      <c r="F161" s="2" t="s">
        <v>376</v>
      </c>
    </row>
    <row r="162" spans="1:6" x14ac:dyDescent="0.25">
      <c r="A162" s="2">
        <v>161</v>
      </c>
      <c r="C162" s="4">
        <v>2025131</v>
      </c>
      <c r="D162" s="4" t="s">
        <v>369</v>
      </c>
      <c r="E162" s="4">
        <v>1040</v>
      </c>
      <c r="F162" s="2" t="s">
        <v>384</v>
      </c>
    </row>
    <row r="163" spans="1:6" x14ac:dyDescent="0.25">
      <c r="A163" s="2">
        <v>162</v>
      </c>
      <c r="C163" s="4">
        <v>2025131</v>
      </c>
      <c r="D163" s="4" t="s">
        <v>370</v>
      </c>
      <c r="E163" s="4">
        <v>1642</v>
      </c>
      <c r="F163" s="2" t="s">
        <v>384</v>
      </c>
    </row>
    <row r="164" spans="1:6" x14ac:dyDescent="0.25">
      <c r="A164" s="2">
        <v>163</v>
      </c>
      <c r="C164" s="4">
        <v>2025136</v>
      </c>
      <c r="D164" s="4" t="s">
        <v>369</v>
      </c>
      <c r="E164" s="4">
        <v>1396</v>
      </c>
      <c r="F164" s="2" t="s">
        <v>384</v>
      </c>
    </row>
    <row r="165" spans="1:6" x14ac:dyDescent="0.25">
      <c r="A165" s="2">
        <v>164</v>
      </c>
      <c r="C165" s="4">
        <v>2025136</v>
      </c>
      <c r="D165" s="4" t="s">
        <v>370</v>
      </c>
      <c r="E165" s="4">
        <v>916</v>
      </c>
      <c r="F165" s="2" t="s">
        <v>384</v>
      </c>
    </row>
    <row r="166" spans="1:6" x14ac:dyDescent="0.25">
      <c r="A166" s="2">
        <v>165</v>
      </c>
      <c r="C166" s="4">
        <v>2025111</v>
      </c>
      <c r="D166" s="4" t="s">
        <v>369</v>
      </c>
      <c r="E166" s="4">
        <v>1483</v>
      </c>
      <c r="F166" s="2" t="s">
        <v>384</v>
      </c>
    </row>
    <row r="167" spans="1:6" x14ac:dyDescent="0.25">
      <c r="A167" s="2">
        <v>166</v>
      </c>
      <c r="C167" s="4">
        <v>2025111</v>
      </c>
      <c r="D167" s="4" t="s">
        <v>370</v>
      </c>
      <c r="E167" s="4">
        <v>770</v>
      </c>
      <c r="F167" s="2" t="s">
        <v>384</v>
      </c>
    </row>
    <row r="168" spans="1:6" x14ac:dyDescent="0.25">
      <c r="A168" s="2">
        <v>167</v>
      </c>
      <c r="C168" s="4">
        <v>2025139</v>
      </c>
      <c r="D168" s="4" t="s">
        <v>369</v>
      </c>
      <c r="E168" s="4">
        <v>780</v>
      </c>
      <c r="F168" s="2" t="s">
        <v>384</v>
      </c>
    </row>
    <row r="169" spans="1:6" x14ac:dyDescent="0.25">
      <c r="A169" s="2">
        <v>168</v>
      </c>
      <c r="C169" s="4">
        <v>2025139</v>
      </c>
      <c r="D169" s="4" t="s">
        <v>370</v>
      </c>
      <c r="E169" s="4">
        <v>557</v>
      </c>
      <c r="F169" s="2" t="s">
        <v>384</v>
      </c>
    </row>
    <row r="170" spans="1:6" x14ac:dyDescent="0.25">
      <c r="A170" s="2">
        <v>169</v>
      </c>
      <c r="C170" s="4">
        <v>2025129</v>
      </c>
      <c r="D170" s="4" t="s">
        <v>369</v>
      </c>
      <c r="E170" s="4">
        <v>1517</v>
      </c>
      <c r="F170" s="2" t="s">
        <v>384</v>
      </c>
    </row>
    <row r="171" spans="1:6" x14ac:dyDescent="0.25">
      <c r="A171" s="2">
        <v>170</v>
      </c>
      <c r="C171" s="4">
        <v>2025129</v>
      </c>
      <c r="D171" s="4" t="s">
        <v>370</v>
      </c>
      <c r="E171" s="4">
        <v>811</v>
      </c>
      <c r="F171" s="2" t="s">
        <v>384</v>
      </c>
    </row>
    <row r="172" spans="1:6" x14ac:dyDescent="0.25">
      <c r="A172" s="2">
        <v>171</v>
      </c>
      <c r="C172" s="4">
        <v>2025112</v>
      </c>
      <c r="D172" s="4" t="s">
        <v>369</v>
      </c>
      <c r="E172" s="4">
        <v>718</v>
      </c>
      <c r="F172" s="2" t="s">
        <v>384</v>
      </c>
    </row>
    <row r="173" spans="1:6" x14ac:dyDescent="0.25">
      <c r="A173" s="2">
        <v>172</v>
      </c>
      <c r="C173" s="4">
        <v>2025112</v>
      </c>
      <c r="D173" s="4" t="s">
        <v>370</v>
      </c>
      <c r="E173" s="4">
        <v>512</v>
      </c>
      <c r="F173" s="2" t="s">
        <v>384</v>
      </c>
    </row>
    <row r="174" spans="1:6" x14ac:dyDescent="0.25">
      <c r="A174" s="2">
        <v>173</v>
      </c>
      <c r="C174" s="4">
        <v>2025090</v>
      </c>
      <c r="D174" s="4" t="s">
        <v>369</v>
      </c>
      <c r="E174" s="4">
        <v>1103</v>
      </c>
      <c r="F174" s="2" t="s">
        <v>384</v>
      </c>
    </row>
    <row r="175" spans="1:6" x14ac:dyDescent="0.25">
      <c r="A175" s="2">
        <v>174</v>
      </c>
      <c r="C175" s="4">
        <v>2025090</v>
      </c>
      <c r="D175" s="4" t="s">
        <v>370</v>
      </c>
      <c r="E175" s="4">
        <v>813</v>
      </c>
      <c r="F175" s="2" t="s">
        <v>384</v>
      </c>
    </row>
    <row r="176" spans="1:6" x14ac:dyDescent="0.25">
      <c r="A176" s="2">
        <v>175</v>
      </c>
      <c r="C176" s="4">
        <v>2025083</v>
      </c>
      <c r="D176" s="4" t="s">
        <v>369</v>
      </c>
      <c r="E176" s="4">
        <v>717</v>
      </c>
      <c r="F176" s="2" t="s">
        <v>384</v>
      </c>
    </row>
    <row r="177" spans="1:6" x14ac:dyDescent="0.25">
      <c r="A177" s="2">
        <v>176</v>
      </c>
      <c r="C177" s="4">
        <v>2025083</v>
      </c>
      <c r="D177" s="4" t="s">
        <v>370</v>
      </c>
      <c r="E177" s="4">
        <v>835</v>
      </c>
      <c r="F177" s="2" t="s">
        <v>384</v>
      </c>
    </row>
    <row r="178" spans="1:6" x14ac:dyDescent="0.25">
      <c r="A178" s="2">
        <v>177</v>
      </c>
      <c r="C178" s="4">
        <v>2025118</v>
      </c>
      <c r="D178" s="4" t="s">
        <v>369</v>
      </c>
      <c r="E178" s="4">
        <v>1378</v>
      </c>
      <c r="F178" s="2" t="s">
        <v>384</v>
      </c>
    </row>
    <row r="179" spans="1:6" x14ac:dyDescent="0.25">
      <c r="C179" s="4">
        <v>2025118</v>
      </c>
      <c r="D179" s="4" t="s">
        <v>370</v>
      </c>
      <c r="E179" s="4">
        <v>929</v>
      </c>
      <c r="F179" s="2" t="s">
        <v>384</v>
      </c>
    </row>
  </sheetData>
  <autoFilter ref="A1:F165"/>
  <sortState ref="A2:F148">
    <sortCondition ref="A2:A1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C3" sqref="C3:D87"/>
    </sheetView>
  </sheetViews>
  <sheetFormatPr defaultColWidth="11.42578125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seagrass biomass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barille-l</cp:lastModifiedBy>
  <dcterms:created xsi:type="dcterms:W3CDTF">2025-07-14T19:12:03Z</dcterms:created>
  <dcterms:modified xsi:type="dcterms:W3CDTF">2026-01-22T10:35:12Z</dcterms:modified>
</cp:coreProperties>
</file>